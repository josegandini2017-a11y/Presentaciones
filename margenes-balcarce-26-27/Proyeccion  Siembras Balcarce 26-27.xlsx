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013d30ad412deb0/Desktop/charla Margenes balcarce/"/>
    </mc:Choice>
  </mc:AlternateContent>
  <xr:revisionPtr revIDLastSave="50" documentId="14_{BC314354-4B0E-4FB7-AD03-A2653017C595}" xr6:coauthVersionLast="47" xr6:coauthVersionMax="47" xr10:uidLastSave="{F5324754-12F8-47F0-8431-73798F27E78A}"/>
  <bookViews>
    <workbookView xWindow="-108" yWindow="-108" windowWidth="23256" windowHeight="12456" tabRatio="933" firstSheet="3" activeTab="15" xr2:uid="{00000000-000D-0000-FFFF-FFFF00000000}"/>
  </bookViews>
  <sheets>
    <sheet name="Cotizaciones" sheetId="10" r:id="rId1"/>
    <sheet name="Resumen Proy" sheetId="11" r:id="rId2"/>
    <sheet name="CASH FLOW" sheetId="24" r:id="rId3"/>
    <sheet name="Cebada SP" sheetId="4" r:id="rId4"/>
    <sheet name="Cebada SS " sheetId="13" state="hidden" r:id="rId5"/>
    <sheet name="Soja 2da. C" sheetId="2" r:id="rId6"/>
    <sheet name="Trigo SP" sheetId="9" r:id="rId7"/>
    <sheet name="Camelina" sheetId="6" r:id="rId8"/>
    <sheet name="Soja 2da. T" sheetId="12" r:id="rId9"/>
    <sheet name="Maiz 2da" sheetId="3" r:id="rId10"/>
    <sheet name="Girasol 2da" sheetId="23" state="hidden" r:id="rId11"/>
    <sheet name="Soja 2da. Co" sheetId="20" state="hidden" r:id="rId12"/>
    <sheet name="Maiz SP" sheetId="8" r:id="rId13"/>
    <sheet name="Girasol SP" sheetId="7" r:id="rId14"/>
    <sheet name="Girasol SS" sheetId="17" state="hidden" r:id="rId15"/>
    <sheet name="Girasol O SP" sheetId="5" r:id="rId16"/>
    <sheet name="Girasol O SS" sheetId="18" state="hidden" r:id="rId17"/>
    <sheet name="Soja SS" sheetId="21" r:id="rId18"/>
    <sheet name="Trigo SS" sheetId="15" state="hidden" r:id="rId19"/>
    <sheet name="Tipo de Cambio Proyectado" sheetId="25" r:id="rId20"/>
    <sheet name="TIR" sheetId="28" r:id="rId21"/>
    <sheet name="Hoja2" sheetId="26" r:id="rId22"/>
    <sheet name="Hoja3" sheetId="27" r:id="rId23"/>
  </sheets>
  <externalReferences>
    <externalReference r:id="rId24"/>
    <externalReference r:id="rId25"/>
  </externalReferences>
  <definedNames>
    <definedName name="aquimsj1" localSheetId="17">'Soja SS'!$E$30</definedName>
    <definedName name="aquimsj1">Camelina!$E$30</definedName>
    <definedName name="labsj1">NA()</definedName>
    <definedName name="semsj1" localSheetId="17">'Soja SS'!$E$36</definedName>
    <definedName name="semsj1">Camelina!$E$37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7" l="1"/>
  <c r="E72" i="8"/>
  <c r="D46" i="7"/>
  <c r="A47" i="7"/>
  <c r="B56" i="11"/>
  <c r="D46" i="9"/>
  <c r="L80" i="5"/>
  <c r="H83" i="5"/>
  <c r="J81" i="5"/>
  <c r="L86" i="5"/>
  <c r="L83" i="5"/>
  <c r="L81" i="5"/>
  <c r="H80" i="8"/>
  <c r="J78" i="8"/>
  <c r="L78" i="8" s="1"/>
  <c r="J77" i="8"/>
  <c r="L83" i="8"/>
  <c r="L80" i="8"/>
  <c r="I72" i="12"/>
  <c r="K75" i="12"/>
  <c r="K76" i="12"/>
  <c r="K78" i="12"/>
  <c r="G75" i="12"/>
  <c r="M66" i="9"/>
  <c r="I66" i="9"/>
  <c r="K77" i="8"/>
  <c r="D45" i="5"/>
  <c r="D43" i="8"/>
  <c r="D47" i="8"/>
  <c r="I82" i="8" l="1"/>
  <c r="I77" i="8"/>
  <c r="K81" i="8"/>
  <c r="K80" i="8"/>
  <c r="K79" i="8"/>
  <c r="K78" i="8"/>
  <c r="I80" i="8"/>
  <c r="I78" i="8"/>
  <c r="E71" i="9" l="1"/>
  <c r="E74" i="4"/>
  <c r="L64" i="9" l="1"/>
  <c r="J66" i="9"/>
  <c r="L65" i="9"/>
  <c r="L66" i="9"/>
  <c r="J68" i="9"/>
  <c r="L67" i="9"/>
  <c r="J69" i="9"/>
  <c r="J63" i="9"/>
  <c r="L69" i="9"/>
  <c r="L63" i="9"/>
  <c r="N63" i="11" s="1"/>
  <c r="K82" i="5"/>
  <c r="I85" i="5"/>
  <c r="K83" i="5"/>
  <c r="I80" i="5"/>
  <c r="K84" i="5"/>
  <c r="K80" i="5"/>
  <c r="I81" i="5"/>
  <c r="I83" i="5"/>
  <c r="K81" i="5"/>
  <c r="D46" i="4"/>
  <c r="E75" i="21"/>
  <c r="D47" i="21"/>
  <c r="O63" i="11" l="1"/>
  <c r="H80" i="2"/>
  <c r="G75" i="2"/>
  <c r="H78" i="2"/>
  <c r="D39" i="9" l="1"/>
  <c r="D40" i="4"/>
  <c r="E57" i="11" l="1"/>
  <c r="D42" i="6" l="1"/>
  <c r="E42" i="6" s="1"/>
  <c r="D34" i="6"/>
  <c r="B29" i="6"/>
  <c r="C11" i="11" l="1"/>
  <c r="E11" i="11"/>
  <c r="B85" i="7"/>
  <c r="B11" i="11" l="1"/>
  <c r="AF11" i="11" s="1"/>
  <c r="B3" i="12" l="1"/>
  <c r="B15" i="11"/>
  <c r="R15" i="11" s="1"/>
  <c r="S15" i="11" s="1"/>
  <c r="C15" i="11"/>
  <c r="E15" i="11"/>
  <c r="J76" i="12" l="1"/>
  <c r="H72" i="12"/>
  <c r="J78" i="12"/>
  <c r="J72" i="12"/>
  <c r="H73" i="12"/>
  <c r="H75" i="12"/>
  <c r="M66" i="11" s="1"/>
  <c r="O66" i="11" s="1"/>
  <c r="J74" i="12"/>
  <c r="H76" i="12"/>
  <c r="J75" i="12"/>
  <c r="H77" i="12"/>
  <c r="D41" i="7"/>
  <c r="D43" i="5"/>
  <c r="D49" i="5"/>
  <c r="D43" i="12"/>
  <c r="D37" i="12"/>
  <c r="D37" i="2"/>
  <c r="D38" i="2"/>
  <c r="E68" i="12" l="1"/>
  <c r="D59" i="3" l="1"/>
  <c r="E71" i="3"/>
  <c r="D36" i="23" l="1"/>
  <c r="D37" i="23"/>
  <c r="E37" i="23" s="1"/>
  <c r="B33" i="23"/>
  <c r="E53" i="4" l="1"/>
  <c r="E54" i="4" s="1"/>
  <c r="E56" i="4"/>
  <c r="E57" i="4" s="1"/>
  <c r="E55" i="7" l="1"/>
  <c r="B57" i="11" l="1"/>
  <c r="D26" i="21" s="1"/>
  <c r="D27" i="3" l="1"/>
  <c r="E27" i="3" s="1"/>
  <c r="I43" i="10"/>
  <c r="D62" i="9" l="1"/>
  <c r="E62" i="9" s="1"/>
  <c r="D66" i="4"/>
  <c r="D38" i="9"/>
  <c r="D43" i="4"/>
  <c r="D43" i="7"/>
  <c r="E43" i="7" s="1"/>
  <c r="D42" i="7"/>
  <c r="E42" i="7" s="1"/>
  <c r="D36" i="7"/>
  <c r="E36" i="7" s="1"/>
  <c r="D35" i="7"/>
  <c r="E35" i="7" s="1"/>
  <c r="D41" i="8"/>
  <c r="E41" i="8" s="1"/>
  <c r="D40" i="8"/>
  <c r="E40" i="8" s="1"/>
  <c r="D34" i="8"/>
  <c r="E34" i="8" s="1"/>
  <c r="D33" i="8"/>
  <c r="E33" i="8" s="1"/>
  <c r="D34" i="4"/>
  <c r="E34" i="4" s="1"/>
  <c r="D33" i="4"/>
  <c r="E33" i="4" s="1"/>
  <c r="D42" i="4"/>
  <c r="E42" i="4" s="1"/>
  <c r="D41" i="4"/>
  <c r="E41" i="4" s="1"/>
  <c r="F12" i="4"/>
  <c r="C78" i="10"/>
  <c r="I18" i="10"/>
  <c r="E38" i="9"/>
  <c r="E43" i="5"/>
  <c r="D41" i="3"/>
  <c r="E41" i="3" s="1"/>
  <c r="D39" i="4"/>
  <c r="E39" i="4" s="1"/>
  <c r="J68" i="4"/>
  <c r="J69" i="4"/>
  <c r="J71" i="4"/>
  <c r="K74" i="4"/>
  <c r="K73" i="4"/>
  <c r="D44" i="3"/>
  <c r="E44" i="3" s="1"/>
  <c r="E44" i="7"/>
  <c r="E43" i="8"/>
  <c r="D39" i="8"/>
  <c r="E39" i="8" s="1"/>
  <c r="D49" i="9"/>
  <c r="E49" i="9" s="1"/>
  <c r="D48" i="9"/>
  <c r="E48" i="9"/>
  <c r="D50" i="5"/>
  <c r="E50" i="5"/>
  <c r="D51" i="7"/>
  <c r="E51" i="7" s="1"/>
  <c r="D48" i="7"/>
  <c r="D47" i="9"/>
  <c r="E47" i="9" s="1"/>
  <c r="D71" i="6"/>
  <c r="E71" i="6" s="1"/>
  <c r="D69" i="5"/>
  <c r="D73" i="7"/>
  <c r="D67" i="8"/>
  <c r="D63" i="12"/>
  <c r="E63" i="12" s="1"/>
  <c r="D66" i="9"/>
  <c r="E66" i="9" s="1"/>
  <c r="D69" i="4"/>
  <c r="E69" i="4" s="1"/>
  <c r="D64" i="2"/>
  <c r="D50" i="7"/>
  <c r="E50" i="7"/>
  <c r="D41" i="6"/>
  <c r="E41" i="6" s="1"/>
  <c r="D40" i="6"/>
  <c r="E40" i="6"/>
  <c r="E46" i="6"/>
  <c r="D23" i="4"/>
  <c r="E23" i="4" s="1"/>
  <c r="E10" i="3"/>
  <c r="E11" i="9"/>
  <c r="D19" i="23"/>
  <c r="E19" i="23" s="1"/>
  <c r="E20" i="23" s="1"/>
  <c r="G20" i="23" s="1"/>
  <c r="D23" i="18"/>
  <c r="E23" i="18" s="1"/>
  <c r="E24" i="18" s="1"/>
  <c r="G24" i="18" s="1"/>
  <c r="D39" i="12"/>
  <c r="E39" i="12" s="1"/>
  <c r="B35" i="6"/>
  <c r="D33" i="6"/>
  <c r="E33" i="6" s="1"/>
  <c r="E34" i="6"/>
  <c r="D34" i="5"/>
  <c r="E34" i="5" s="1"/>
  <c r="D35" i="5"/>
  <c r="E35" i="5" s="1"/>
  <c r="B36" i="5"/>
  <c r="B37" i="7"/>
  <c r="B35" i="8"/>
  <c r="D33" i="9"/>
  <c r="E33" i="9" s="1"/>
  <c r="D34" i="9"/>
  <c r="E34" i="9" s="1"/>
  <c r="B35" i="9"/>
  <c r="B35" i="4"/>
  <c r="H66" i="9"/>
  <c r="H68" i="9"/>
  <c r="H67" i="9"/>
  <c r="H65" i="9"/>
  <c r="H64" i="9"/>
  <c r="H63" i="9"/>
  <c r="D74" i="6"/>
  <c r="E74" i="6" s="1"/>
  <c r="D72" i="5"/>
  <c r="E72" i="5" s="1"/>
  <c r="D70" i="8"/>
  <c r="E70" i="8" s="1"/>
  <c r="D66" i="12"/>
  <c r="E66" i="12" s="1"/>
  <c r="G66" i="4"/>
  <c r="G65" i="4"/>
  <c r="G64" i="4"/>
  <c r="G63" i="4"/>
  <c r="B82" i="5"/>
  <c r="E70" i="2"/>
  <c r="D65" i="9"/>
  <c r="E65" i="9" s="1"/>
  <c r="D63" i="8"/>
  <c r="E63" i="8" s="1"/>
  <c r="D8" i="4"/>
  <c r="E8" i="4"/>
  <c r="D21" i="12"/>
  <c r="E21" i="12" s="1"/>
  <c r="B39" i="2"/>
  <c r="E39" i="2" s="1"/>
  <c r="D20" i="2"/>
  <c r="E20" i="2" s="1"/>
  <c r="D64" i="9"/>
  <c r="E64" i="9"/>
  <c r="D56" i="13"/>
  <c r="E56" i="13"/>
  <c r="E7" i="8"/>
  <c r="E12" i="10"/>
  <c r="E11" i="10"/>
  <c r="E10" i="10"/>
  <c r="G29" i="7"/>
  <c r="G28" i="8"/>
  <c r="I27" i="9"/>
  <c r="H27" i="4"/>
  <c r="D17" i="11"/>
  <c r="N153" i="24"/>
  <c r="M153" i="24"/>
  <c r="I153" i="24"/>
  <c r="H153" i="24"/>
  <c r="G153" i="24"/>
  <c r="F153" i="24"/>
  <c r="E153" i="24"/>
  <c r="D153" i="24"/>
  <c r="C153" i="24"/>
  <c r="B153" i="24"/>
  <c r="E151" i="24"/>
  <c r="D151" i="24"/>
  <c r="D165" i="24"/>
  <c r="C151" i="24"/>
  <c r="B151" i="24"/>
  <c r="B165" i="24"/>
  <c r="E47" i="11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C92" i="24" s="1"/>
  <c r="C68" i="26" s="1"/>
  <c r="B93" i="24"/>
  <c r="B92" i="24" s="1"/>
  <c r="B88" i="24" s="1"/>
  <c r="B89" i="24" s="1"/>
  <c r="O39" i="24"/>
  <c r="O38" i="24" s="1"/>
  <c r="N39" i="24"/>
  <c r="N38" i="24" s="1"/>
  <c r="N34" i="24" s="1"/>
  <c r="M39" i="24"/>
  <c r="L39" i="24"/>
  <c r="K39" i="24"/>
  <c r="J39" i="24"/>
  <c r="I39" i="24"/>
  <c r="H39" i="24"/>
  <c r="G39" i="24"/>
  <c r="F39" i="24"/>
  <c r="E39" i="24"/>
  <c r="D39" i="24"/>
  <c r="C39" i="24"/>
  <c r="B39" i="24"/>
  <c r="O12" i="24"/>
  <c r="O11" i="24" s="1"/>
  <c r="N12" i="24"/>
  <c r="N11" i="24" s="1"/>
  <c r="M12" i="24"/>
  <c r="M11" i="24" s="1"/>
  <c r="L12" i="24"/>
  <c r="K12" i="24"/>
  <c r="J12" i="24"/>
  <c r="I12" i="24"/>
  <c r="H12" i="24"/>
  <c r="G12" i="24"/>
  <c r="F12" i="24"/>
  <c r="E12" i="24"/>
  <c r="D12" i="24"/>
  <c r="C12" i="24"/>
  <c r="B12" i="24"/>
  <c r="D33" i="23"/>
  <c r="E33" i="23" s="1"/>
  <c r="E15" i="5"/>
  <c r="D9" i="7"/>
  <c r="E47" i="12"/>
  <c r="E47" i="6"/>
  <c r="D45" i="8"/>
  <c r="E45" i="8" s="1"/>
  <c r="D22" i="9"/>
  <c r="E48" i="7"/>
  <c r="D47" i="4"/>
  <c r="E47" i="4" s="1"/>
  <c r="D67" i="9"/>
  <c r="E67" i="9"/>
  <c r="D70" i="4"/>
  <c r="E70" i="4"/>
  <c r="C77" i="10"/>
  <c r="C76" i="10"/>
  <c r="C75" i="10"/>
  <c r="C74" i="10"/>
  <c r="C73" i="10"/>
  <c r="A84" i="10"/>
  <c r="A83" i="10"/>
  <c r="A81" i="10"/>
  <c r="H54" i="10"/>
  <c r="E7" i="11"/>
  <c r="E23" i="11" s="1"/>
  <c r="C10" i="11"/>
  <c r="E10" i="11"/>
  <c r="E42" i="11" s="1"/>
  <c r="B3" i="20"/>
  <c r="M81" i="24" s="1"/>
  <c r="Q11" i="11"/>
  <c r="D76" i="7"/>
  <c r="E76" i="7" s="1"/>
  <c r="D51" i="23"/>
  <c r="E51" i="23" s="1"/>
  <c r="D67" i="2"/>
  <c r="E67" i="2" s="1"/>
  <c r="D61" i="21"/>
  <c r="E61" i="21" s="1"/>
  <c r="E14" i="9"/>
  <c r="E54" i="23"/>
  <c r="E55" i="23" s="1"/>
  <c r="D10" i="23"/>
  <c r="E10" i="23" s="1"/>
  <c r="E9" i="9"/>
  <c r="E8" i="11"/>
  <c r="E24" i="11" s="1"/>
  <c r="E36" i="23"/>
  <c r="E39" i="9"/>
  <c r="D38" i="8"/>
  <c r="E38" i="8" s="1"/>
  <c r="D40" i="5"/>
  <c r="E40" i="5" s="1"/>
  <c r="E10" i="5"/>
  <c r="E47" i="8"/>
  <c r="D46" i="8"/>
  <c r="E46" i="8" s="1"/>
  <c r="E12" i="8"/>
  <c r="D37" i="3"/>
  <c r="E37" i="3"/>
  <c r="E46" i="10"/>
  <c r="D21" i="20" s="1"/>
  <c r="E21" i="20" s="1"/>
  <c r="E22" i="20" s="1"/>
  <c r="G22" i="20" s="1"/>
  <c r="E10" i="7"/>
  <c r="E6" i="11"/>
  <c r="E22" i="11" s="1"/>
  <c r="Q6" i="11"/>
  <c r="C7" i="11"/>
  <c r="C23" i="11" s="1"/>
  <c r="Q7" i="11"/>
  <c r="E98" i="3"/>
  <c r="B98" i="3" s="1"/>
  <c r="E89" i="3"/>
  <c r="G89" i="3" s="1"/>
  <c r="D63" i="3"/>
  <c r="E63" i="3"/>
  <c r="E64" i="3"/>
  <c r="D55" i="3"/>
  <c r="E55" i="3" s="1"/>
  <c r="D52" i="3"/>
  <c r="E52" i="3" s="1"/>
  <c r="E48" i="3"/>
  <c r="E49" i="3" s="1"/>
  <c r="D45" i="3"/>
  <c r="E45" i="3" s="1"/>
  <c r="D43" i="3"/>
  <c r="E43" i="3" s="1"/>
  <c r="D42" i="3"/>
  <c r="E40" i="3"/>
  <c r="E39" i="3"/>
  <c r="E38" i="3"/>
  <c r="I37" i="3"/>
  <c r="G44" i="3" s="1"/>
  <c r="G37" i="3"/>
  <c r="G39" i="3" s="1"/>
  <c r="G40" i="3" s="1"/>
  <c r="G34" i="3"/>
  <c r="G33" i="3"/>
  <c r="D30" i="3"/>
  <c r="E30" i="3" s="1"/>
  <c r="E31" i="3" s="1"/>
  <c r="G31" i="3" s="1"/>
  <c r="E28" i="3"/>
  <c r="G28" i="3" s="1"/>
  <c r="G24" i="3"/>
  <c r="D24" i="3"/>
  <c r="E24" i="3" s="1"/>
  <c r="E25" i="3" s="1"/>
  <c r="G25" i="3" s="1"/>
  <c r="D20" i="3"/>
  <c r="E20" i="3" s="1"/>
  <c r="D19" i="3"/>
  <c r="E19" i="3" s="1"/>
  <c r="G18" i="3"/>
  <c r="D18" i="3"/>
  <c r="E18" i="3"/>
  <c r="D35" i="23"/>
  <c r="E35" i="23" s="1"/>
  <c r="D43" i="6"/>
  <c r="E43" i="6"/>
  <c r="E23" i="6"/>
  <c r="E24" i="6" s="1"/>
  <c r="D45" i="4"/>
  <c r="E45" i="4"/>
  <c r="B13" i="11"/>
  <c r="C11" i="28"/>
  <c r="C13" i="28"/>
  <c r="C16" i="28"/>
  <c r="C15" i="28"/>
  <c r="C14" i="28"/>
  <c r="N118" i="24"/>
  <c r="B104" i="24"/>
  <c r="B90" i="24"/>
  <c r="M9" i="24"/>
  <c r="N9" i="24"/>
  <c r="K60" i="26"/>
  <c r="P60" i="26" s="1"/>
  <c r="K59" i="26"/>
  <c r="J59" i="26"/>
  <c r="I59" i="26"/>
  <c r="H59" i="26"/>
  <c r="G59" i="26"/>
  <c r="F59" i="26"/>
  <c r="E59" i="26"/>
  <c r="D59" i="26"/>
  <c r="B59" i="26"/>
  <c r="C59" i="26"/>
  <c r="E54" i="9"/>
  <c r="E55" i="9" s="1"/>
  <c r="J56" i="26"/>
  <c r="I56" i="26"/>
  <c r="D56" i="26"/>
  <c r="C56" i="26"/>
  <c r="B56" i="26"/>
  <c r="L55" i="26"/>
  <c r="K55" i="26"/>
  <c r="J55" i="26"/>
  <c r="I55" i="26"/>
  <c r="H55" i="26"/>
  <c r="G55" i="26"/>
  <c r="F55" i="26"/>
  <c r="E55" i="26"/>
  <c r="D55" i="26"/>
  <c r="C55" i="26"/>
  <c r="B55" i="26"/>
  <c r="L54" i="26"/>
  <c r="L52" i="26" s="1"/>
  <c r="K54" i="26"/>
  <c r="K52" i="26" s="1"/>
  <c r="J54" i="26"/>
  <c r="J52" i="26" s="1"/>
  <c r="I54" i="26"/>
  <c r="I52" i="26" s="1"/>
  <c r="H54" i="26"/>
  <c r="G54" i="26"/>
  <c r="F54" i="26"/>
  <c r="E54" i="26"/>
  <c r="D54" i="26"/>
  <c r="C54" i="26"/>
  <c r="B54" i="26"/>
  <c r="P53" i="26"/>
  <c r="O52" i="26"/>
  <c r="N52" i="26"/>
  <c r="M52" i="26"/>
  <c r="O51" i="26"/>
  <c r="O50" i="26"/>
  <c r="J51" i="26"/>
  <c r="J50" i="26" s="1"/>
  <c r="P50" i="26" s="1"/>
  <c r="B50" i="26"/>
  <c r="C50" i="26"/>
  <c r="D50" i="26"/>
  <c r="E50" i="26"/>
  <c r="F50" i="26"/>
  <c r="G50" i="26"/>
  <c r="H50" i="26"/>
  <c r="I50" i="26"/>
  <c r="K50" i="26"/>
  <c r="L50" i="26"/>
  <c r="M50" i="26"/>
  <c r="N50" i="26"/>
  <c r="C10" i="28"/>
  <c r="C9" i="28"/>
  <c r="A5" i="28"/>
  <c r="E45" i="5"/>
  <c r="D46" i="5"/>
  <c r="E46" i="5"/>
  <c r="E46" i="9"/>
  <c r="D22" i="13"/>
  <c r="E22" i="13" s="1"/>
  <c r="E23" i="13" s="1"/>
  <c r="E22" i="9"/>
  <c r="D29" i="4"/>
  <c r="E29" i="4" s="1"/>
  <c r="E30" i="4" s="1"/>
  <c r="D42" i="9"/>
  <c r="E42" i="9"/>
  <c r="E43" i="4"/>
  <c r="B74" i="13"/>
  <c r="A99" i="13" s="1"/>
  <c r="A98" i="13" s="1"/>
  <c r="A97" i="13" s="1"/>
  <c r="A96" i="13" s="1"/>
  <c r="D44" i="13"/>
  <c r="E44" i="13"/>
  <c r="D43" i="13"/>
  <c r="E43" i="13" s="1"/>
  <c r="D25" i="13"/>
  <c r="E25" i="13"/>
  <c r="E26" i="13"/>
  <c r="E46" i="4"/>
  <c r="J108" i="24"/>
  <c r="C165" i="24"/>
  <c r="E165" i="24"/>
  <c r="C12" i="11"/>
  <c r="C8" i="11"/>
  <c r="C9" i="11"/>
  <c r="E9" i="11"/>
  <c r="E41" i="11" s="1"/>
  <c r="D41" i="5"/>
  <c r="E41" i="5" s="1"/>
  <c r="D40" i="9"/>
  <c r="E40" i="9" s="1"/>
  <c r="C158" i="24"/>
  <c r="C157" i="24"/>
  <c r="D158" i="24"/>
  <c r="D157" i="24"/>
  <c r="E158" i="24"/>
  <c r="E157" i="24"/>
  <c r="F158" i="24"/>
  <c r="F157" i="24"/>
  <c r="G158" i="24"/>
  <c r="G157" i="24"/>
  <c r="B158" i="24"/>
  <c r="B157" i="24"/>
  <c r="C25" i="11"/>
  <c r="Z48" i="11"/>
  <c r="Y48" i="11"/>
  <c r="X48" i="11"/>
  <c r="W48" i="11"/>
  <c r="V48" i="11"/>
  <c r="U48" i="11"/>
  <c r="T48" i="11"/>
  <c r="Q43" i="11"/>
  <c r="Q41" i="11"/>
  <c r="Q39" i="11"/>
  <c r="Z32" i="11"/>
  <c r="Y32" i="11"/>
  <c r="X32" i="11"/>
  <c r="W32" i="11"/>
  <c r="V32" i="11"/>
  <c r="U32" i="11"/>
  <c r="T32" i="11"/>
  <c r="R31" i="11"/>
  <c r="S31" i="11" s="1"/>
  <c r="R30" i="11"/>
  <c r="S30" i="11" s="1"/>
  <c r="R29" i="11"/>
  <c r="AA28" i="11"/>
  <c r="R28" i="11"/>
  <c r="S28" i="11" s="1"/>
  <c r="P28" i="11"/>
  <c r="Q27" i="11"/>
  <c r="R27" i="11" s="1"/>
  <c r="S27" i="11" s="1"/>
  <c r="R26" i="11"/>
  <c r="S26" i="11" s="1"/>
  <c r="Q25" i="11"/>
  <c r="R25" i="11" s="1"/>
  <c r="S25" i="11" s="1"/>
  <c r="Q24" i="11"/>
  <c r="R24" i="11" s="1"/>
  <c r="S24" i="11" s="1"/>
  <c r="Q23" i="11"/>
  <c r="R23" i="11" s="1"/>
  <c r="S23" i="11" s="1"/>
  <c r="Q22" i="11"/>
  <c r="R22" i="11" s="1"/>
  <c r="Z16" i="11"/>
  <c r="Y16" i="11"/>
  <c r="X16" i="11"/>
  <c r="W16" i="11"/>
  <c r="V16" i="11"/>
  <c r="U16" i="11"/>
  <c r="T16" i="11"/>
  <c r="C94" i="21"/>
  <c r="B95" i="6"/>
  <c r="D29" i="15"/>
  <c r="D61" i="15"/>
  <c r="E61" i="15"/>
  <c r="E62" i="15"/>
  <c r="D29" i="21"/>
  <c r="E29" i="21" s="1"/>
  <c r="E30" i="21" s="1"/>
  <c r="D29" i="6"/>
  <c r="E29" i="6" s="1"/>
  <c r="E30" i="6" s="1"/>
  <c r="G30" i="6" s="1"/>
  <c r="D29" i="18"/>
  <c r="E29" i="18"/>
  <c r="E30" i="18"/>
  <c r="G30" i="18"/>
  <c r="D30" i="5"/>
  <c r="E30" i="5" s="1"/>
  <c r="E31" i="5" s="1"/>
  <c r="D31" i="17"/>
  <c r="E31" i="17"/>
  <c r="E32" i="17"/>
  <c r="G32" i="17"/>
  <c r="D31" i="7"/>
  <c r="E31" i="7" s="1"/>
  <c r="E32" i="7" s="1"/>
  <c r="D30" i="8"/>
  <c r="E30" i="8" s="1"/>
  <c r="E31" i="8" s="1"/>
  <c r="D27" i="20"/>
  <c r="E27" i="20"/>
  <c r="E28" i="20"/>
  <c r="E25" i="23"/>
  <c r="E26" i="23" s="1"/>
  <c r="G26" i="23" s="1"/>
  <c r="D27" i="12"/>
  <c r="D29" i="9"/>
  <c r="E29" i="9" s="1"/>
  <c r="E30" i="9" s="1"/>
  <c r="D27" i="2"/>
  <c r="E27" i="2" s="1"/>
  <c r="E28" i="2" s="1"/>
  <c r="C167" i="24"/>
  <c r="D167" i="24"/>
  <c r="E167" i="24"/>
  <c r="F167" i="24"/>
  <c r="G167" i="24"/>
  <c r="H167" i="24"/>
  <c r="I167" i="24"/>
  <c r="M167" i="24"/>
  <c r="N167" i="24"/>
  <c r="B167" i="24"/>
  <c r="P74" i="24"/>
  <c r="D33" i="11"/>
  <c r="C22" i="11"/>
  <c r="C31" i="11"/>
  <c r="C30" i="11"/>
  <c r="C25" i="24"/>
  <c r="C23" i="24"/>
  <c r="C21" i="24"/>
  <c r="N132" i="24"/>
  <c r="K132" i="24"/>
  <c r="J132" i="24"/>
  <c r="I132" i="24"/>
  <c r="H132" i="24"/>
  <c r="G132" i="24"/>
  <c r="F132" i="24"/>
  <c r="E132" i="24"/>
  <c r="D132" i="24"/>
  <c r="C132" i="24"/>
  <c r="B132" i="24"/>
  <c r="B3" i="18"/>
  <c r="B3" i="17"/>
  <c r="B3" i="21"/>
  <c r="B3" i="13"/>
  <c r="M118" i="24"/>
  <c r="K118" i="24"/>
  <c r="J118" i="24"/>
  <c r="I118" i="24"/>
  <c r="H118" i="24"/>
  <c r="G118" i="24"/>
  <c r="F118" i="24"/>
  <c r="E118" i="24"/>
  <c r="D118" i="24"/>
  <c r="C118" i="24"/>
  <c r="B118" i="24"/>
  <c r="C106" i="24"/>
  <c r="C104" i="24"/>
  <c r="D104" i="24"/>
  <c r="E104" i="24"/>
  <c r="F104" i="24"/>
  <c r="G104" i="24"/>
  <c r="H104" i="24"/>
  <c r="I104" i="24"/>
  <c r="J104" i="24"/>
  <c r="K104" i="24"/>
  <c r="L104" i="24"/>
  <c r="M104" i="24"/>
  <c r="C90" i="24"/>
  <c r="D90" i="24"/>
  <c r="E90" i="24"/>
  <c r="F90" i="24"/>
  <c r="G90" i="24"/>
  <c r="H90" i="24"/>
  <c r="I90" i="24"/>
  <c r="J90" i="24"/>
  <c r="K90" i="24"/>
  <c r="L90" i="24"/>
  <c r="M90" i="24"/>
  <c r="J40" i="21"/>
  <c r="J41" i="6"/>
  <c r="C79" i="24"/>
  <c r="C75" i="24"/>
  <c r="C77" i="24"/>
  <c r="B77" i="24"/>
  <c r="B79" i="24"/>
  <c r="D77" i="24"/>
  <c r="E77" i="24"/>
  <c r="F77" i="24"/>
  <c r="G77" i="24"/>
  <c r="H77" i="24"/>
  <c r="I77" i="24"/>
  <c r="J77" i="24"/>
  <c r="K77" i="24"/>
  <c r="L77" i="24"/>
  <c r="M77" i="24"/>
  <c r="N65" i="24"/>
  <c r="O65" i="24"/>
  <c r="O61" i="24"/>
  <c r="O63" i="24"/>
  <c r="C63" i="24"/>
  <c r="D63" i="24"/>
  <c r="E63" i="24"/>
  <c r="F63" i="24"/>
  <c r="G63" i="24"/>
  <c r="J63" i="24"/>
  <c r="K63" i="24"/>
  <c r="L63" i="24"/>
  <c r="M63" i="24"/>
  <c r="N63" i="24"/>
  <c r="N61" i="24"/>
  <c r="B63" i="24"/>
  <c r="B50" i="24"/>
  <c r="C50" i="24"/>
  <c r="D50" i="24"/>
  <c r="E50" i="24"/>
  <c r="F50" i="24"/>
  <c r="G50" i="24"/>
  <c r="H50" i="24"/>
  <c r="I50" i="24"/>
  <c r="J50" i="24"/>
  <c r="K50" i="24"/>
  <c r="L50" i="24"/>
  <c r="M50" i="24"/>
  <c r="N50" i="24"/>
  <c r="C52" i="24"/>
  <c r="B23" i="24"/>
  <c r="D23" i="24"/>
  <c r="E23" i="24"/>
  <c r="F23" i="24"/>
  <c r="G23" i="24"/>
  <c r="H23" i="24"/>
  <c r="I23" i="24"/>
  <c r="J23" i="24"/>
  <c r="K23" i="24"/>
  <c r="L23" i="24"/>
  <c r="M23" i="24"/>
  <c r="N23" i="24"/>
  <c r="O36" i="24"/>
  <c r="N36" i="24"/>
  <c r="M36" i="24"/>
  <c r="I36" i="24"/>
  <c r="H36" i="24"/>
  <c r="G36" i="24"/>
  <c r="F36" i="24"/>
  <c r="E36" i="24"/>
  <c r="D36" i="24"/>
  <c r="C36" i="24"/>
  <c r="B36" i="24"/>
  <c r="B9" i="24"/>
  <c r="C9" i="24"/>
  <c r="D9" i="24"/>
  <c r="E9" i="24"/>
  <c r="F9" i="24"/>
  <c r="G9" i="24"/>
  <c r="H9" i="24"/>
  <c r="I9" i="24"/>
  <c r="L9" i="24"/>
  <c r="L13" i="24"/>
  <c r="K13" i="24"/>
  <c r="J13" i="24"/>
  <c r="E40" i="4"/>
  <c r="D38" i="23"/>
  <c r="E38" i="23" s="1"/>
  <c r="D34" i="23"/>
  <c r="E34" i="23" s="1"/>
  <c r="D15" i="23"/>
  <c r="E15" i="23" s="1"/>
  <c r="D14" i="23"/>
  <c r="E14" i="23" s="1"/>
  <c r="E12" i="23"/>
  <c r="D11" i="23"/>
  <c r="E11" i="23"/>
  <c r="D38" i="18"/>
  <c r="E38" i="18"/>
  <c r="D20" i="18"/>
  <c r="E20" i="18"/>
  <c r="D21" i="5"/>
  <c r="E21" i="5"/>
  <c r="E20" i="5"/>
  <c r="D21" i="17"/>
  <c r="E21" i="17"/>
  <c r="D22" i="7"/>
  <c r="E22" i="7"/>
  <c r="E21" i="7"/>
  <c r="B3" i="15"/>
  <c r="D40" i="17"/>
  <c r="E40" i="17"/>
  <c r="D39" i="21"/>
  <c r="E39" i="21" s="1"/>
  <c r="D59" i="12"/>
  <c r="E59" i="12" s="1"/>
  <c r="D36" i="12"/>
  <c r="E36" i="12"/>
  <c r="B72" i="15"/>
  <c r="A96" i="15" s="1"/>
  <c r="D38" i="15"/>
  <c r="E38" i="15"/>
  <c r="E37" i="2"/>
  <c r="D39" i="13"/>
  <c r="E39" i="13"/>
  <c r="D38" i="13"/>
  <c r="E38" i="13" s="1"/>
  <c r="C27" i="11"/>
  <c r="C26" i="11"/>
  <c r="E91" i="23"/>
  <c r="D91" i="23" s="1"/>
  <c r="E82" i="23"/>
  <c r="G82" i="23" s="1"/>
  <c r="E58" i="23"/>
  <c r="E47" i="23"/>
  <c r="E46" i="23"/>
  <c r="D45" i="23"/>
  <c r="E45" i="23" s="1"/>
  <c r="E41" i="23"/>
  <c r="E42" i="23" s="1"/>
  <c r="G38" i="23"/>
  <c r="G36" i="23"/>
  <c r="G35" i="23"/>
  <c r="G34" i="23"/>
  <c r="G33" i="23"/>
  <c r="G30" i="23"/>
  <c r="G29" i="23"/>
  <c r="G19" i="23"/>
  <c r="E13" i="23"/>
  <c r="C24" i="11"/>
  <c r="B32" i="11"/>
  <c r="D32" i="11" s="1"/>
  <c r="E26" i="21"/>
  <c r="E27" i="21" s="1"/>
  <c r="E103" i="21"/>
  <c r="F103" i="21" s="1"/>
  <c r="F94" i="21" s="1"/>
  <c r="B82" i="21"/>
  <c r="B84" i="21" s="1"/>
  <c r="D64" i="21" s="1"/>
  <c r="E64" i="21" s="1"/>
  <c r="D62" i="21"/>
  <c r="E62" i="21" s="1"/>
  <c r="D58" i="21"/>
  <c r="E58" i="21" s="1"/>
  <c r="H51" i="21"/>
  <c r="D51" i="21"/>
  <c r="E51" i="21" s="1"/>
  <c r="D50" i="21"/>
  <c r="E50" i="21" s="1"/>
  <c r="D49" i="21"/>
  <c r="E49" i="21" s="1"/>
  <c r="D48" i="21"/>
  <c r="E48" i="21" s="1"/>
  <c r="E47" i="21"/>
  <c r="D46" i="21"/>
  <c r="E46" i="21" s="1"/>
  <c r="D45" i="21"/>
  <c r="E45" i="21" s="1"/>
  <c r="D44" i="21"/>
  <c r="E44" i="21" s="1"/>
  <c r="D43" i="21"/>
  <c r="E43" i="21" s="1"/>
  <c r="D42" i="21"/>
  <c r="E42" i="21" s="1"/>
  <c r="H41" i="21"/>
  <c r="D41" i="21"/>
  <c r="B41" i="21"/>
  <c r="E41" i="21" s="1"/>
  <c r="D40" i="21"/>
  <c r="E40" i="21" s="1"/>
  <c r="H39" i="21"/>
  <c r="H40" i="21" s="1"/>
  <c r="H38" i="21"/>
  <c r="D38" i="21"/>
  <c r="E38" i="21" s="1"/>
  <c r="D23" i="21"/>
  <c r="E23" i="21" s="1"/>
  <c r="E24" i="21" s="1"/>
  <c r="G24" i="21" s="1"/>
  <c r="D18" i="21"/>
  <c r="E18" i="21" s="1"/>
  <c r="D17" i="21"/>
  <c r="E17" i="21" s="1"/>
  <c r="D16" i="21"/>
  <c r="E16" i="21"/>
  <c r="C14" i="11"/>
  <c r="C13" i="11"/>
  <c r="E92" i="20"/>
  <c r="E83" i="20"/>
  <c r="B72" i="20"/>
  <c r="B74" i="20" s="1"/>
  <c r="D57" i="20" s="1"/>
  <c r="E57" i="20" s="1"/>
  <c r="D61" i="20"/>
  <c r="E61" i="20"/>
  <c r="E62" i="20"/>
  <c r="D55" i="20"/>
  <c r="E55" i="20"/>
  <c r="D51" i="20"/>
  <c r="D44" i="20"/>
  <c r="E44" i="20"/>
  <c r="D43" i="20"/>
  <c r="E43" i="20"/>
  <c r="D42" i="20"/>
  <c r="E42" i="20" s="1"/>
  <c r="D41" i="20"/>
  <c r="E41" i="20"/>
  <c r="D40" i="20"/>
  <c r="E40" i="20" s="1"/>
  <c r="D39" i="20"/>
  <c r="E39" i="20" s="1"/>
  <c r="H38" i="20"/>
  <c r="D38" i="20"/>
  <c r="E38" i="20" s="1"/>
  <c r="B38" i="20"/>
  <c r="D37" i="20"/>
  <c r="E37" i="20"/>
  <c r="H36" i="20"/>
  <c r="H37" i="20"/>
  <c r="D36" i="20"/>
  <c r="E36" i="20" s="1"/>
  <c r="H35" i="20"/>
  <c r="D35" i="20"/>
  <c r="E35" i="20"/>
  <c r="E32" i="20"/>
  <c r="E31" i="20"/>
  <c r="D16" i="20"/>
  <c r="E16" i="20"/>
  <c r="D15" i="20"/>
  <c r="E15" i="20"/>
  <c r="D14" i="20"/>
  <c r="E14" i="20"/>
  <c r="D26" i="18"/>
  <c r="E26" i="18" s="1"/>
  <c r="E27" i="18" s="1"/>
  <c r="G27" i="18" s="1"/>
  <c r="E99" i="18"/>
  <c r="E68" i="18"/>
  <c r="D58" i="18"/>
  <c r="E58" i="18"/>
  <c r="D54" i="18"/>
  <c r="E54" i="18" s="1"/>
  <c r="D47" i="18"/>
  <c r="E47" i="18" s="1"/>
  <c r="D46" i="18"/>
  <c r="E46" i="18"/>
  <c r="D45" i="18"/>
  <c r="E45" i="18" s="1"/>
  <c r="D44" i="18"/>
  <c r="E44" i="18" s="1"/>
  <c r="D43" i="18"/>
  <c r="E43" i="18" s="1"/>
  <c r="D42" i="18"/>
  <c r="E42" i="18" s="1"/>
  <c r="D41" i="18"/>
  <c r="E41" i="18" s="1"/>
  <c r="B41" i="18"/>
  <c r="D40" i="18"/>
  <c r="E40" i="18" s="1"/>
  <c r="D39" i="18"/>
  <c r="E39" i="18" s="1"/>
  <c r="G38" i="18"/>
  <c r="G39" i="18"/>
  <c r="G34" i="18"/>
  <c r="G33" i="18"/>
  <c r="D19" i="18"/>
  <c r="E19" i="18"/>
  <c r="D18" i="18"/>
  <c r="E18" i="18"/>
  <c r="D17" i="18"/>
  <c r="E17" i="18"/>
  <c r="E21" i="18"/>
  <c r="D28" i="17"/>
  <c r="E28" i="17" s="1"/>
  <c r="E29" i="17" s="1"/>
  <c r="G29" i="17" s="1"/>
  <c r="E100" i="17"/>
  <c r="E91" i="17"/>
  <c r="E70" i="17"/>
  <c r="D60" i="17"/>
  <c r="E60" i="17"/>
  <c r="D56" i="17"/>
  <c r="E56" i="17" s="1"/>
  <c r="G48" i="17"/>
  <c r="D48" i="17"/>
  <c r="E48" i="17"/>
  <c r="G47" i="17"/>
  <c r="D47" i="17"/>
  <c r="E47" i="17"/>
  <c r="G46" i="17"/>
  <c r="D46" i="17"/>
  <c r="E46" i="17" s="1"/>
  <c r="G45" i="17"/>
  <c r="D45" i="17"/>
  <c r="E45" i="17" s="1"/>
  <c r="B45" i="17"/>
  <c r="D44" i="17"/>
  <c r="D43" i="17"/>
  <c r="E43" i="17" s="1"/>
  <c r="D42" i="17"/>
  <c r="E42" i="17" s="1"/>
  <c r="D41" i="17"/>
  <c r="E41" i="17"/>
  <c r="G40" i="17"/>
  <c r="G41" i="17"/>
  <c r="G36" i="17"/>
  <c r="G35" i="17"/>
  <c r="D22" i="17"/>
  <c r="E22" i="17"/>
  <c r="D20" i="17"/>
  <c r="E20" i="17"/>
  <c r="D19" i="17"/>
  <c r="E19" i="17"/>
  <c r="D45" i="2"/>
  <c r="E45" i="2" s="1"/>
  <c r="D42" i="15"/>
  <c r="E42" i="15"/>
  <c r="D26" i="15"/>
  <c r="E26" i="15" s="1"/>
  <c r="E27" i="15" s="1"/>
  <c r="G27" i="15" s="1"/>
  <c r="E92" i="15"/>
  <c r="E65" i="15"/>
  <c r="D56" i="15"/>
  <c r="E56" i="15"/>
  <c r="D52" i="15"/>
  <c r="E52" i="15" s="1"/>
  <c r="D45" i="15"/>
  <c r="E45" i="15"/>
  <c r="D44" i="15"/>
  <c r="E44" i="15" s="1"/>
  <c r="D43" i="15"/>
  <c r="E43" i="15" s="1"/>
  <c r="G42" i="15"/>
  <c r="G45" i="15"/>
  <c r="G41" i="15"/>
  <c r="D41" i="15"/>
  <c r="E41" i="15" s="1"/>
  <c r="D40" i="15"/>
  <c r="E40" i="15" s="1"/>
  <c r="G39" i="15"/>
  <c r="G40" i="15"/>
  <c r="D39" i="15"/>
  <c r="E39" i="15" s="1"/>
  <c r="I38" i="15"/>
  <c r="G44" i="15"/>
  <c r="G38" i="15"/>
  <c r="G43" i="15"/>
  <c r="D37" i="15"/>
  <c r="E37" i="15" s="1"/>
  <c r="G34" i="15"/>
  <c r="G23" i="15"/>
  <c r="G33" i="15"/>
  <c r="G37" i="15"/>
  <c r="D18" i="15"/>
  <c r="E18" i="15"/>
  <c r="G17" i="15"/>
  <c r="D17" i="15"/>
  <c r="E17" i="15"/>
  <c r="G16" i="15"/>
  <c r="D16" i="15"/>
  <c r="E16" i="15"/>
  <c r="E95" i="13"/>
  <c r="D59" i="13"/>
  <c r="E59" i="13"/>
  <c r="D55" i="13"/>
  <c r="E55" i="13"/>
  <c r="D48" i="13"/>
  <c r="E48" i="13" s="1"/>
  <c r="D47" i="13"/>
  <c r="E47" i="13"/>
  <c r="D46" i="13"/>
  <c r="E46" i="13" s="1"/>
  <c r="H45" i="13"/>
  <c r="D45" i="13"/>
  <c r="E45" i="13"/>
  <c r="H43" i="13"/>
  <c r="H47" i="13"/>
  <c r="H42" i="13"/>
  <c r="D42" i="13"/>
  <c r="E42" i="13" s="1"/>
  <c r="H41" i="13"/>
  <c r="D41" i="13"/>
  <c r="E41" i="13"/>
  <c r="H40" i="13"/>
  <c r="H48" i="13"/>
  <c r="D40" i="13"/>
  <c r="E40" i="13" s="1"/>
  <c r="M38" i="13"/>
  <c r="H38" i="13"/>
  <c r="D37" i="13"/>
  <c r="E37" i="13"/>
  <c r="E18" i="13"/>
  <c r="E17" i="13"/>
  <c r="E16" i="13"/>
  <c r="D66" i="5"/>
  <c r="E66" i="5" s="1"/>
  <c r="D51" i="5"/>
  <c r="E51" i="5"/>
  <c r="E49" i="5"/>
  <c r="D48" i="5"/>
  <c r="E48" i="5"/>
  <c r="D47" i="5"/>
  <c r="E47" i="5" s="1"/>
  <c r="D44" i="5"/>
  <c r="E44" i="5" s="1"/>
  <c r="D42" i="5"/>
  <c r="E42" i="5" s="1"/>
  <c r="D24" i="5"/>
  <c r="E24" i="5" s="1"/>
  <c r="E19" i="5"/>
  <c r="D18" i="5"/>
  <c r="E18" i="5"/>
  <c r="E53" i="8"/>
  <c r="E54" i="8"/>
  <c r="D44" i="8"/>
  <c r="E44" i="8" s="1"/>
  <c r="D42" i="8"/>
  <c r="E42" i="8"/>
  <c r="D24" i="8"/>
  <c r="E24" i="8" s="1"/>
  <c r="E25" i="8" s="1"/>
  <c r="E20" i="8"/>
  <c r="E19" i="8"/>
  <c r="E18" i="8"/>
  <c r="G40" i="5"/>
  <c r="G41" i="5"/>
  <c r="D60" i="12"/>
  <c r="D44" i="12"/>
  <c r="E44" i="12"/>
  <c r="E43" i="12"/>
  <c r="D42" i="12"/>
  <c r="E42" i="12"/>
  <c r="D41" i="12"/>
  <c r="E41" i="12"/>
  <c r="D40" i="12"/>
  <c r="E40" i="12"/>
  <c r="H38" i="12"/>
  <c r="D38" i="12"/>
  <c r="B38" i="12"/>
  <c r="E37" i="12"/>
  <c r="H36" i="12"/>
  <c r="H35" i="12"/>
  <c r="H43" i="12"/>
  <c r="H42" i="12"/>
  <c r="D35" i="12"/>
  <c r="E35" i="12"/>
  <c r="E32" i="12"/>
  <c r="E31" i="12"/>
  <c r="D16" i="12"/>
  <c r="E16" i="12"/>
  <c r="D15" i="12"/>
  <c r="E15" i="12"/>
  <c r="D14" i="12"/>
  <c r="E14" i="12"/>
  <c r="D70" i="7"/>
  <c r="E70" i="7" s="1"/>
  <c r="D52" i="7"/>
  <c r="E52" i="7"/>
  <c r="E49" i="7"/>
  <c r="D47" i="7"/>
  <c r="E47" i="7"/>
  <c r="E41" i="7"/>
  <c r="D20" i="7"/>
  <c r="E20" i="7"/>
  <c r="D19" i="7"/>
  <c r="E19" i="7"/>
  <c r="D68" i="6"/>
  <c r="E68" i="6" s="1"/>
  <c r="D61" i="2"/>
  <c r="E61" i="2" s="1"/>
  <c r="D72" i="6"/>
  <c r="E72" i="6"/>
  <c r="D45" i="6"/>
  <c r="E45" i="6" s="1"/>
  <c r="D44" i="6"/>
  <c r="E44" i="6" s="1"/>
  <c r="D39" i="6"/>
  <c r="E39" i="6"/>
  <c r="D18" i="6"/>
  <c r="E18" i="6"/>
  <c r="E16" i="6"/>
  <c r="D63" i="9"/>
  <c r="E63" i="9" s="1"/>
  <c r="D45" i="9"/>
  <c r="E45" i="9" s="1"/>
  <c r="D44" i="9"/>
  <c r="E44" i="9"/>
  <c r="E43" i="9"/>
  <c r="D41" i="9"/>
  <c r="E41" i="9" s="1"/>
  <c r="E18" i="9"/>
  <c r="E17" i="9"/>
  <c r="E16" i="9"/>
  <c r="E66" i="4"/>
  <c r="D44" i="2"/>
  <c r="E44" i="2"/>
  <c r="D43" i="2"/>
  <c r="E43" i="2" s="1"/>
  <c r="D42" i="2"/>
  <c r="E42" i="2"/>
  <c r="D41" i="2"/>
  <c r="E41" i="2" s="1"/>
  <c r="D40" i="2"/>
  <c r="E40" i="2" s="1"/>
  <c r="D39" i="2"/>
  <c r="E38" i="2"/>
  <c r="D36" i="2"/>
  <c r="E36" i="2"/>
  <c r="D16" i="2"/>
  <c r="E16" i="2" s="1"/>
  <c r="D15" i="2"/>
  <c r="E15" i="2"/>
  <c r="E14" i="2"/>
  <c r="E31" i="2"/>
  <c r="E32" i="2"/>
  <c r="E34" i="2"/>
  <c r="H36" i="2"/>
  <c r="H43" i="2" s="1"/>
  <c r="H37" i="2"/>
  <c r="H39" i="2"/>
  <c r="E95" i="2"/>
  <c r="D95" i="2" s="1"/>
  <c r="D50" i="4"/>
  <c r="E50" i="4"/>
  <c r="D48" i="4"/>
  <c r="E48" i="4" s="1"/>
  <c r="D44" i="4"/>
  <c r="E44" i="4" s="1"/>
  <c r="E48" i="12"/>
  <c r="E51" i="13"/>
  <c r="E52" i="13"/>
  <c r="E12" i="11"/>
  <c r="E44" i="11" s="1"/>
  <c r="E19" i="4"/>
  <c r="E18" i="4"/>
  <c r="E17" i="4"/>
  <c r="D15" i="17"/>
  <c r="E15" i="17"/>
  <c r="D14" i="15"/>
  <c r="E14" i="15"/>
  <c r="D6" i="3"/>
  <c r="E6" i="3"/>
  <c r="G44" i="9"/>
  <c r="G49" i="9"/>
  <c r="G43" i="9"/>
  <c r="G40" i="9"/>
  <c r="G41" i="9"/>
  <c r="I39" i="9"/>
  <c r="G47" i="9"/>
  <c r="G39" i="9"/>
  <c r="G45" i="9"/>
  <c r="H34" i="9"/>
  <c r="G34" i="9"/>
  <c r="G22" i="9"/>
  <c r="G33" i="9"/>
  <c r="G38" i="9"/>
  <c r="G17" i="9"/>
  <c r="G16" i="9"/>
  <c r="I38" i="8"/>
  <c r="G38" i="8"/>
  <c r="G40" i="8"/>
  <c r="G41" i="8"/>
  <c r="G34" i="8"/>
  <c r="G33" i="8"/>
  <c r="G24" i="8"/>
  <c r="G18" i="8"/>
  <c r="G35" i="5"/>
  <c r="G52" i="7"/>
  <c r="G49" i="7"/>
  <c r="G46" i="7"/>
  <c r="G41" i="7"/>
  <c r="G42" i="7"/>
  <c r="G36" i="7"/>
  <c r="G35" i="7"/>
  <c r="H52" i="6"/>
  <c r="H42" i="6"/>
  <c r="H40" i="6"/>
  <c r="H41" i="6"/>
  <c r="H47" i="4"/>
  <c r="H45" i="4"/>
  <c r="H49" i="4"/>
  <c r="H44" i="4"/>
  <c r="H42" i="4"/>
  <c r="H41" i="4"/>
  <c r="H50" i="4"/>
  <c r="H39" i="4"/>
  <c r="E103" i="4"/>
  <c r="D103" i="4" s="1"/>
  <c r="E63" i="7"/>
  <c r="E61" i="5"/>
  <c r="E105" i="5"/>
  <c r="D105" i="5" s="1"/>
  <c r="E104" i="6"/>
  <c r="F104" i="6" s="1"/>
  <c r="E58" i="9"/>
  <c r="E48" i="2"/>
  <c r="E49" i="2" s="1"/>
  <c r="E94" i="12"/>
  <c r="F94" i="12" s="1"/>
  <c r="E94" i="4"/>
  <c r="G94" i="4" s="1"/>
  <c r="E83" i="15"/>
  <c r="H83" i="15"/>
  <c r="E86" i="13"/>
  <c r="F86" i="13"/>
  <c r="E107" i="7"/>
  <c r="D107" i="7" s="1"/>
  <c r="E50" i="18"/>
  <c r="E51" i="18"/>
  <c r="E54" i="5"/>
  <c r="E55" i="5" s="1"/>
  <c r="G55" i="5" s="1"/>
  <c r="E56" i="7"/>
  <c r="E54" i="21"/>
  <c r="E55" i="21" s="1"/>
  <c r="E47" i="20"/>
  <c r="E48" i="20"/>
  <c r="E55" i="6"/>
  <c r="E56" i="6" s="1"/>
  <c r="E50" i="8"/>
  <c r="E51" i="8" s="1"/>
  <c r="E48" i="15"/>
  <c r="E49" i="15"/>
  <c r="E52" i="9"/>
  <c r="E53" i="9" s="1"/>
  <c r="E52" i="17"/>
  <c r="E53" i="17"/>
  <c r="G53" i="17"/>
  <c r="B77" i="17"/>
  <c r="B78" i="17" s="1"/>
  <c r="B82" i="17" s="1"/>
  <c r="B75" i="18"/>
  <c r="B76" i="18" s="1"/>
  <c r="B79" i="18" s="1"/>
  <c r="D25" i="7"/>
  <c r="E25" i="7" s="1"/>
  <c r="E26" i="7" s="1"/>
  <c r="Q9" i="11"/>
  <c r="Q40" i="11"/>
  <c r="Q8" i="11"/>
  <c r="Q38" i="11"/>
  <c r="P26" i="24"/>
  <c r="B25" i="24"/>
  <c r="P66" i="24"/>
  <c r="P80" i="24"/>
  <c r="E106" i="24"/>
  <c r="E98" i="8"/>
  <c r="C98" i="8" s="1"/>
  <c r="E89" i="8"/>
  <c r="G89" i="8" s="1"/>
  <c r="L118" i="24"/>
  <c r="L132" i="24"/>
  <c r="M132" i="24"/>
  <c r="M158" i="24"/>
  <c r="M157" i="24"/>
  <c r="H63" i="24"/>
  <c r="H158" i="24"/>
  <c r="H157" i="24"/>
  <c r="K9" i="24"/>
  <c r="D53" i="15"/>
  <c r="E53" i="15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E67" i="4"/>
  <c r="D83" i="20"/>
  <c r="F95" i="13"/>
  <c r="D8" i="13"/>
  <c r="E8" i="13"/>
  <c r="J69" i="24"/>
  <c r="H42" i="20"/>
  <c r="H43" i="20"/>
  <c r="C91" i="17"/>
  <c r="P135" i="24"/>
  <c r="D66" i="8"/>
  <c r="E66" i="8" s="1"/>
  <c r="D72" i="7"/>
  <c r="E72" i="7" s="1"/>
  <c r="D56" i="18"/>
  <c r="E56" i="18"/>
  <c r="D16" i="17"/>
  <c r="E16" i="17"/>
  <c r="D14" i="18"/>
  <c r="E14" i="18"/>
  <c r="C29" i="26"/>
  <c r="D99" i="18"/>
  <c r="C99" i="18"/>
  <c r="C90" i="18"/>
  <c r="B99" i="18"/>
  <c r="B90" i="18"/>
  <c r="D65" i="5"/>
  <c r="E65" i="5" s="1"/>
  <c r="D44" i="23"/>
  <c r="E44" i="23" s="1"/>
  <c r="D55" i="17"/>
  <c r="E55" i="17" s="1"/>
  <c r="E29" i="15"/>
  <c r="E30" i="15"/>
  <c r="G30" i="15"/>
  <c r="P99" i="24"/>
  <c r="D58" i="17"/>
  <c r="E58" i="17"/>
  <c r="D62" i="12"/>
  <c r="E62" i="12"/>
  <c r="D95" i="13"/>
  <c r="H39" i="20"/>
  <c r="C100" i="17"/>
  <c r="Q143" i="24"/>
  <c r="H40" i="2"/>
  <c r="H38" i="2"/>
  <c r="D57" i="21"/>
  <c r="E57" i="21" s="1"/>
  <c r="D60" i="2"/>
  <c r="E60" i="2" s="1"/>
  <c r="D51" i="15"/>
  <c r="E51" i="15"/>
  <c r="F99" i="18"/>
  <c r="E90" i="18"/>
  <c r="H83" i="20"/>
  <c r="G83" i="20"/>
  <c r="F90" i="18"/>
  <c r="G99" i="18"/>
  <c r="G90" i="18"/>
  <c r="D90" i="18"/>
  <c r="D8" i="15"/>
  <c r="E8" i="15"/>
  <c r="D8" i="18"/>
  <c r="E8" i="18"/>
  <c r="D8" i="21"/>
  <c r="E8" i="21" s="1"/>
  <c r="D9" i="17"/>
  <c r="E9" i="17"/>
  <c r="E23" i="17"/>
  <c r="G23" i="17"/>
  <c r="D7" i="2"/>
  <c r="E7" i="2"/>
  <c r="D18" i="7"/>
  <c r="E18" i="7"/>
  <c r="D16" i="18"/>
  <c r="E16" i="18"/>
  <c r="D18" i="17"/>
  <c r="E18" i="17"/>
  <c r="D7" i="20"/>
  <c r="E7" i="20"/>
  <c r="P58" i="24"/>
  <c r="D68" i="5"/>
  <c r="E68" i="5"/>
  <c r="D68" i="4"/>
  <c r="E68" i="4"/>
  <c r="D53" i="20"/>
  <c r="E53" i="20" s="1"/>
  <c r="D54" i="15"/>
  <c r="E54" i="15" s="1"/>
  <c r="D70" i="6"/>
  <c r="E70" i="6" s="1"/>
  <c r="D67" i="6"/>
  <c r="E67" i="6"/>
  <c r="D50" i="20"/>
  <c r="E50" i="20" s="1"/>
  <c r="E13" i="21"/>
  <c r="D13" i="17"/>
  <c r="E13" i="17"/>
  <c r="P127" i="24"/>
  <c r="I39" i="3"/>
  <c r="G43" i="3"/>
  <c r="G45" i="3"/>
  <c r="H98" i="3"/>
  <c r="C98" i="3"/>
  <c r="F98" i="3"/>
  <c r="D17" i="20"/>
  <c r="E17" i="20"/>
  <c r="D57" i="18"/>
  <c r="E57" i="18"/>
  <c r="D12" i="13"/>
  <c r="E12" i="13"/>
  <c r="D16" i="5"/>
  <c r="E16" i="5"/>
  <c r="D8" i="6"/>
  <c r="E8" i="6"/>
  <c r="D7" i="12"/>
  <c r="E7" i="12"/>
  <c r="P141" i="24"/>
  <c r="O26" i="11"/>
  <c r="P45" i="24"/>
  <c r="E27" i="12"/>
  <c r="E28" i="12"/>
  <c r="E13" i="3"/>
  <c r="D17" i="7"/>
  <c r="E17" i="7"/>
  <c r="D15" i="15"/>
  <c r="E15" i="15"/>
  <c r="D11" i="17"/>
  <c r="E11" i="17"/>
  <c r="E14" i="21"/>
  <c r="D14" i="17"/>
  <c r="E14" i="17"/>
  <c r="E11" i="21"/>
  <c r="D15" i="13"/>
  <c r="E15" i="13"/>
  <c r="D10" i="18"/>
  <c r="E10" i="18"/>
  <c r="E15" i="21"/>
  <c r="E10" i="21"/>
  <c r="D11" i="20"/>
  <c r="E11" i="20"/>
  <c r="H99" i="18"/>
  <c r="H90" i="18"/>
  <c r="G46" i="8"/>
  <c r="D10" i="17"/>
  <c r="E10" i="17"/>
  <c r="E9" i="6"/>
  <c r="D8" i="2"/>
  <c r="E8" i="2"/>
  <c r="H92" i="20"/>
  <c r="F92" i="20"/>
  <c r="D17" i="3"/>
  <c r="E17" i="3" s="1"/>
  <c r="D17" i="8"/>
  <c r="E17" i="8"/>
  <c r="D17" i="5"/>
  <c r="E17" i="5"/>
  <c r="D53" i="18"/>
  <c r="E53" i="18" s="1"/>
  <c r="D69" i="7"/>
  <c r="E69" i="7" s="1"/>
  <c r="D54" i="13"/>
  <c r="E54" i="13" s="1"/>
  <c r="D19" i="15"/>
  <c r="E19" i="15"/>
  <c r="D19" i="13"/>
  <c r="E19" i="13"/>
  <c r="D63" i="2"/>
  <c r="E63" i="2"/>
  <c r="D60" i="21"/>
  <c r="E60" i="21" s="1"/>
  <c r="D57" i="13"/>
  <c r="E57" i="13"/>
  <c r="G95" i="13"/>
  <c r="C83" i="20"/>
  <c r="D9" i="18"/>
  <c r="E9" i="18"/>
  <c r="E9" i="21"/>
  <c r="D9" i="13"/>
  <c r="E9" i="13"/>
  <c r="D9" i="5"/>
  <c r="E9" i="5"/>
  <c r="D8" i="12"/>
  <c r="E8" i="12"/>
  <c r="D9" i="15"/>
  <c r="E9" i="15"/>
  <c r="D8" i="20"/>
  <c r="E8" i="20"/>
  <c r="D7" i="3"/>
  <c r="E7" i="3"/>
  <c r="D9" i="20"/>
  <c r="E9" i="20"/>
  <c r="D16" i="3"/>
  <c r="E16" i="3" s="1"/>
  <c r="B70" i="24" s="1"/>
  <c r="P70" i="24" s="1"/>
  <c r="D12" i="15"/>
  <c r="E12" i="15"/>
  <c r="D10" i="15"/>
  <c r="E10" i="15"/>
  <c r="D17" i="17"/>
  <c r="E17" i="17"/>
  <c r="D13" i="15"/>
  <c r="E13" i="15"/>
  <c r="D13" i="18"/>
  <c r="E13" i="18"/>
  <c r="E9" i="12"/>
  <c r="D15" i="18"/>
  <c r="E15" i="18"/>
  <c r="D12" i="18"/>
  <c r="E12" i="18"/>
  <c r="D13" i="13"/>
  <c r="E13" i="13"/>
  <c r="E16" i="8"/>
  <c r="D10" i="13"/>
  <c r="E10" i="13"/>
  <c r="E9" i="2"/>
  <c r="D14" i="13"/>
  <c r="E14" i="13"/>
  <c r="D13" i="20"/>
  <c r="E13" i="20"/>
  <c r="G86" i="13"/>
  <c r="C48" i="24"/>
  <c r="G44" i="8"/>
  <c r="G47" i="8"/>
  <c r="I40" i="8"/>
  <c r="C65" i="26"/>
  <c r="D91" i="17"/>
  <c r="H91" i="17"/>
  <c r="B91" i="17"/>
  <c r="F91" i="17"/>
  <c r="G91" i="17"/>
  <c r="C95" i="13"/>
  <c r="G98" i="3"/>
  <c r="F83" i="20"/>
  <c r="B83" i="20"/>
  <c r="E14" i="4"/>
  <c r="D23" i="15"/>
  <c r="E23" i="15" s="1"/>
  <c r="E24" i="15" s="1"/>
  <c r="G24" i="15" s="1"/>
  <c r="E15" i="4"/>
  <c r="E50" i="12"/>
  <c r="E51" i="12"/>
  <c r="E58" i="6"/>
  <c r="E59" i="6"/>
  <c r="E59" i="7"/>
  <c r="E60" i="7" s="1"/>
  <c r="E51" i="2"/>
  <c r="E52" i="2" s="1"/>
  <c r="L108" i="24"/>
  <c r="E57" i="5"/>
  <c r="E58" i="5" s="1"/>
  <c r="G58" i="5" s="1"/>
  <c r="E11" i="4"/>
  <c r="E11" i="6"/>
  <c r="E13" i="4"/>
  <c r="E13" i="9"/>
  <c r="E13" i="6"/>
  <c r="E14" i="6"/>
  <c r="E14" i="5"/>
  <c r="E13" i="5"/>
  <c r="E10" i="4"/>
  <c r="E9" i="8"/>
  <c r="E9" i="23"/>
  <c r="E11" i="3"/>
  <c r="E13" i="8"/>
  <c r="E13" i="7"/>
  <c r="D11" i="5"/>
  <c r="E11" i="5" s="1"/>
  <c r="E16" i="4"/>
  <c r="E11" i="8"/>
  <c r="E8" i="8"/>
  <c r="E10" i="9"/>
  <c r="E15" i="9"/>
  <c r="D17" i="6"/>
  <c r="E17" i="6" s="1"/>
  <c r="E10" i="6"/>
  <c r="E12" i="9"/>
  <c r="D53" i="3"/>
  <c r="E53" i="3" s="1"/>
  <c r="E69" i="5"/>
  <c r="E73" i="7"/>
  <c r="D48" i="23"/>
  <c r="E48" i="23" s="1"/>
  <c r="E12" i="4"/>
  <c r="E11" i="2"/>
  <c r="E13" i="2"/>
  <c r="E64" i="8"/>
  <c r="D70" i="5"/>
  <c r="E70" i="5"/>
  <c r="D68" i="8"/>
  <c r="E68" i="8"/>
  <c r="D65" i="2"/>
  <c r="E65" i="2"/>
  <c r="D69" i="6"/>
  <c r="E69" i="6"/>
  <c r="D56" i="3"/>
  <c r="E56" i="3" s="1"/>
  <c r="D49" i="23"/>
  <c r="E49" i="23" s="1"/>
  <c r="D57" i="3"/>
  <c r="E57" i="3" s="1"/>
  <c r="D57" i="17"/>
  <c r="E57" i="17"/>
  <c r="E67" i="8"/>
  <c r="D74" i="7"/>
  <c r="E74" i="7"/>
  <c r="D64" i="12"/>
  <c r="E64" i="12"/>
  <c r="D71" i="7"/>
  <c r="E71" i="7"/>
  <c r="D55" i="18"/>
  <c r="E55" i="18"/>
  <c r="D67" i="5"/>
  <c r="E67" i="5"/>
  <c r="E14" i="7"/>
  <c r="E11" i="7"/>
  <c r="D15" i="7"/>
  <c r="E15" i="7" s="1"/>
  <c r="D55" i="15"/>
  <c r="E55" i="15"/>
  <c r="E64" i="2"/>
  <c r="D54" i="20"/>
  <c r="E54" i="20" s="1"/>
  <c r="D59" i="17"/>
  <c r="E59" i="17" s="1"/>
  <c r="D58" i="13"/>
  <c r="E58" i="13"/>
  <c r="E15" i="8"/>
  <c r="E14" i="8"/>
  <c r="E65" i="8"/>
  <c r="E16" i="7"/>
  <c r="D10" i="20"/>
  <c r="E10" i="20"/>
  <c r="E12" i="7"/>
  <c r="E12" i="6"/>
  <c r="E12" i="21"/>
  <c r="E12" i="5"/>
  <c r="E10" i="2"/>
  <c r="E10" i="8"/>
  <c r="E10" i="12"/>
  <c r="E8" i="23"/>
  <c r="J67" i="24" s="1"/>
  <c r="D12" i="17"/>
  <c r="E12" i="17"/>
  <c r="D11" i="18"/>
  <c r="E11" i="18"/>
  <c r="D11" i="15"/>
  <c r="E11" i="15"/>
  <c r="D11" i="13"/>
  <c r="E11" i="13"/>
  <c r="L136" i="24"/>
  <c r="M139" i="24"/>
  <c r="M150" i="24" s="1"/>
  <c r="M164" i="24" s="1"/>
  <c r="E137" i="24"/>
  <c r="D25" i="17"/>
  <c r="E25" i="17" s="1"/>
  <c r="E26" i="17" s="1"/>
  <c r="G26" i="17" s="1"/>
  <c r="D19" i="9"/>
  <c r="E19" i="9"/>
  <c r="E20" i="4"/>
  <c r="E12" i="3"/>
  <c r="D62" i="2"/>
  <c r="E62" i="2"/>
  <c r="D61" i="12"/>
  <c r="E61" i="12"/>
  <c r="D52" i="20"/>
  <c r="E52" i="20"/>
  <c r="D59" i="21"/>
  <c r="E59" i="21" s="1"/>
  <c r="E102" i="24"/>
  <c r="E71" i="26"/>
  <c r="H100" i="17"/>
  <c r="B100" i="17"/>
  <c r="G100" i="17"/>
  <c r="D100" i="17"/>
  <c r="E14" i="3"/>
  <c r="D15" i="3"/>
  <c r="E15" i="3" s="1"/>
  <c r="F100" i="17"/>
  <c r="H95" i="13"/>
  <c r="B95" i="13"/>
  <c r="D92" i="20"/>
  <c r="C92" i="20"/>
  <c r="G92" i="20"/>
  <c r="B92" i="20"/>
  <c r="F95" i="2"/>
  <c r="G95" i="2" s="1"/>
  <c r="E33" i="20"/>
  <c r="C71" i="26"/>
  <c r="C102" i="24"/>
  <c r="D62" i="8"/>
  <c r="E62" i="8"/>
  <c r="E139" i="24"/>
  <c r="E150" i="24" s="1"/>
  <c r="E164" i="24" s="1"/>
  <c r="C139" i="24"/>
  <c r="N139" i="24"/>
  <c r="N150" i="24" s="1"/>
  <c r="N164" i="24" s="1"/>
  <c r="I137" i="24"/>
  <c r="G139" i="24"/>
  <c r="L137" i="24"/>
  <c r="B139" i="24"/>
  <c r="B134" i="24" s="1"/>
  <c r="B130" i="24" s="1"/>
  <c r="F139" i="24"/>
  <c r="F136" i="24"/>
  <c r="K136" i="24"/>
  <c r="K139" i="24"/>
  <c r="K150" i="24" s="1"/>
  <c r="K164" i="24" s="1"/>
  <c r="D139" i="24"/>
  <c r="D150" i="24" s="1"/>
  <c r="D164" i="24" s="1"/>
  <c r="O139" i="24"/>
  <c r="O134" i="24" s="1"/>
  <c r="C136" i="24"/>
  <c r="L139" i="24"/>
  <c r="L150" i="24" s="1"/>
  <c r="L164" i="24" s="1"/>
  <c r="M136" i="24"/>
  <c r="K137" i="24"/>
  <c r="F137" i="24"/>
  <c r="D59" i="18"/>
  <c r="E59" i="18" s="1"/>
  <c r="D15" i="6"/>
  <c r="E15" i="6" s="1"/>
  <c r="E8" i="3"/>
  <c r="E9" i="3"/>
  <c r="B83" i="15"/>
  <c r="D83" i="15"/>
  <c r="C83" i="15"/>
  <c r="F83" i="15"/>
  <c r="G83" i="15"/>
  <c r="F92" i="15"/>
  <c r="G92" i="15"/>
  <c r="C92" i="15"/>
  <c r="B92" i="15"/>
  <c r="E33" i="12"/>
  <c r="D92" i="15"/>
  <c r="H92" i="15"/>
  <c r="E11" i="12"/>
  <c r="E12" i="12"/>
  <c r="B21" i="24"/>
  <c r="B65" i="26"/>
  <c r="H86" i="13"/>
  <c r="D86" i="13"/>
  <c r="B86" i="13"/>
  <c r="C86" i="13"/>
  <c r="H39" i="12"/>
  <c r="H37" i="12"/>
  <c r="B75" i="24"/>
  <c r="B76" i="24"/>
  <c r="B22" i="24"/>
  <c r="C22" i="24"/>
  <c r="E13" i="12"/>
  <c r="C76" i="24"/>
  <c r="C6" i="11"/>
  <c r="E88" i="9"/>
  <c r="G88" i="9" s="1"/>
  <c r="E97" i="9"/>
  <c r="G97" i="9" s="1"/>
  <c r="E69" i="9"/>
  <c r="C12" i="28"/>
  <c r="D69" i="9"/>
  <c r="AD6" i="11"/>
  <c r="AC6" i="11"/>
  <c r="D12" i="20"/>
  <c r="E12" i="20"/>
  <c r="E6" i="8"/>
  <c r="D8" i="9"/>
  <c r="E8" i="9"/>
  <c r="D24" i="4"/>
  <c r="E24" i="4" s="1"/>
  <c r="D33" i="18"/>
  <c r="E33" i="18" s="1"/>
  <c r="D33" i="21"/>
  <c r="E33" i="21" s="1"/>
  <c r="D34" i="21"/>
  <c r="E34" i="21" s="1"/>
  <c r="D32" i="13"/>
  <c r="E32" i="13" s="1"/>
  <c r="D34" i="18"/>
  <c r="E34" i="18" s="1"/>
  <c r="D30" i="23"/>
  <c r="E30" i="23" s="1"/>
  <c r="D29" i="23"/>
  <c r="E29" i="23" s="1"/>
  <c r="D33" i="3"/>
  <c r="E33" i="3" s="1"/>
  <c r="D35" i="17"/>
  <c r="E35" i="17" s="1"/>
  <c r="D36" i="17"/>
  <c r="E36" i="17" s="1"/>
  <c r="D35" i="4"/>
  <c r="D21" i="2" s="1"/>
  <c r="E21" i="2" s="1"/>
  <c r="D34" i="3"/>
  <c r="E34" i="3" s="1"/>
  <c r="I34" i="3" s="1"/>
  <c r="D34" i="15"/>
  <c r="E34" i="15" s="1"/>
  <c r="D33" i="15"/>
  <c r="E33" i="15" s="1"/>
  <c r="D33" i="13"/>
  <c r="E33" i="13" s="1"/>
  <c r="D56" i="20"/>
  <c r="E56" i="20" s="1"/>
  <c r="D60" i="13"/>
  <c r="E60" i="13" s="1"/>
  <c r="D63" i="21"/>
  <c r="E63" i="21" s="1"/>
  <c r="D71" i="4"/>
  <c r="D57" i="15"/>
  <c r="E57" i="15" s="1"/>
  <c r="D50" i="23"/>
  <c r="E50" i="23" s="1"/>
  <c r="D61" i="17"/>
  <c r="E61" i="17" s="1"/>
  <c r="E68" i="24"/>
  <c r="D49" i="4"/>
  <c r="E49" i="4" s="1"/>
  <c r="D45" i="7"/>
  <c r="E45" i="7" s="1"/>
  <c r="I67" i="24"/>
  <c r="H67" i="24"/>
  <c r="F68" i="24"/>
  <c r="J68" i="24"/>
  <c r="F67" i="24"/>
  <c r="H68" i="24"/>
  <c r="D104" i="6"/>
  <c r="D95" i="6" s="1"/>
  <c r="D51" i="3"/>
  <c r="E51" i="3" s="1"/>
  <c r="E18" i="20"/>
  <c r="J136" i="24"/>
  <c r="G18" i="20"/>
  <c r="E86" i="2"/>
  <c r="E43" i="11"/>
  <c r="E27" i="11"/>
  <c r="D17" i="12"/>
  <c r="E17" i="12"/>
  <c r="E17" i="2"/>
  <c r="E20" i="13"/>
  <c r="D8" i="5"/>
  <c r="E8" i="5" s="1"/>
  <c r="E9" i="7"/>
  <c r="E20" i="15"/>
  <c r="D65" i="4"/>
  <c r="E65" i="4"/>
  <c r="D69" i="24"/>
  <c r="G68" i="24"/>
  <c r="G20" i="15"/>
  <c r="G67" i="24"/>
  <c r="C68" i="24"/>
  <c r="B69" i="24"/>
  <c r="D68" i="24"/>
  <c r="B68" i="24"/>
  <c r="E69" i="24"/>
  <c r="M68" i="24"/>
  <c r="M65" i="24" s="1"/>
  <c r="M61" i="24" s="1"/>
  <c r="C69" i="24"/>
  <c r="I68" i="24"/>
  <c r="D67" i="24"/>
  <c r="K68" i="24"/>
  <c r="E12" i="2"/>
  <c r="C57" i="11"/>
  <c r="P56" i="26" l="1"/>
  <c r="P51" i="26"/>
  <c r="P59" i="26"/>
  <c r="E94" i="21"/>
  <c r="B103" i="21"/>
  <c r="B94" i="21" s="1"/>
  <c r="H103" i="21"/>
  <c r="H94" i="21" s="1"/>
  <c r="D103" i="21"/>
  <c r="D94" i="21" s="1"/>
  <c r="G103" i="21"/>
  <c r="G94" i="21" s="1"/>
  <c r="C89" i="8"/>
  <c r="G30" i="21"/>
  <c r="E20" i="21"/>
  <c r="G20" i="21" s="1"/>
  <c r="D86" i="2"/>
  <c r="C95" i="2"/>
  <c r="B95" i="2" s="1"/>
  <c r="B86" i="2" s="1"/>
  <c r="E38" i="12"/>
  <c r="F86" i="2"/>
  <c r="H44" i="2"/>
  <c r="E95" i="6"/>
  <c r="D98" i="3"/>
  <c r="D75" i="7"/>
  <c r="E75" i="7" s="1"/>
  <c r="E77" i="7" s="1"/>
  <c r="D69" i="8"/>
  <c r="D58" i="3"/>
  <c r="E58" i="3" s="1"/>
  <c r="I136" i="24"/>
  <c r="D22" i="23"/>
  <c r="E22" i="23" s="1"/>
  <c r="E23" i="23" s="1"/>
  <c r="G23" i="23" s="1"/>
  <c r="D15" i="11"/>
  <c r="D26" i="6" s="1"/>
  <c r="E26" i="6" s="1"/>
  <c r="E27" i="6" s="1"/>
  <c r="G27" i="6" s="1"/>
  <c r="B43" i="11"/>
  <c r="D136" i="24"/>
  <c r="E39" i="11"/>
  <c r="B46" i="11"/>
  <c r="R46" i="11" s="1"/>
  <c r="S46" i="11" s="1"/>
  <c r="E63" i="11"/>
  <c r="I139" i="24"/>
  <c r="G136" i="24"/>
  <c r="E23" i="7"/>
  <c r="E18" i="2"/>
  <c r="E46" i="7"/>
  <c r="J137" i="24"/>
  <c r="E85" i="12"/>
  <c r="E26" i="11"/>
  <c r="H82" i="23"/>
  <c r="E21" i="3"/>
  <c r="C89" i="3"/>
  <c r="B89" i="3"/>
  <c r="F89" i="3"/>
  <c r="H89" i="3"/>
  <c r="D89" i="3"/>
  <c r="E61" i="18"/>
  <c r="F91" i="23"/>
  <c r="C82" i="23"/>
  <c r="J73" i="24"/>
  <c r="P73" i="24" s="1"/>
  <c r="E16" i="23"/>
  <c r="R11" i="11"/>
  <c r="S11" i="11" s="1"/>
  <c r="F82" i="23"/>
  <c r="D82" i="23"/>
  <c r="B82" i="23"/>
  <c r="K67" i="24"/>
  <c r="P67" i="24" s="1"/>
  <c r="B91" i="23"/>
  <c r="H91" i="23"/>
  <c r="G91" i="23"/>
  <c r="C91" i="23"/>
  <c r="R13" i="11"/>
  <c r="F85" i="12"/>
  <c r="G94" i="12"/>
  <c r="D94" i="12"/>
  <c r="H136" i="24"/>
  <c r="C32" i="11"/>
  <c r="E20" i="6"/>
  <c r="E52" i="21"/>
  <c r="E46" i="3"/>
  <c r="G46" i="3" s="1"/>
  <c r="G137" i="24"/>
  <c r="E38" i="11"/>
  <c r="D97" i="9"/>
  <c r="G30" i="9"/>
  <c r="F97" i="9"/>
  <c r="C97" i="9"/>
  <c r="B76" i="13"/>
  <c r="B97" i="9"/>
  <c r="H97" i="9"/>
  <c r="E51" i="20"/>
  <c r="A87" i="20"/>
  <c r="A86" i="20" s="1"/>
  <c r="A85" i="20" s="1"/>
  <c r="A84" i="20" s="1"/>
  <c r="A96" i="20"/>
  <c r="A95" i="20" s="1"/>
  <c r="A94" i="20" s="1"/>
  <c r="A93" i="20" s="1"/>
  <c r="E22" i="12"/>
  <c r="E22" i="2"/>
  <c r="G77" i="2" s="1"/>
  <c r="G81" i="2" s="1"/>
  <c r="G31" i="5"/>
  <c r="E53" i="6"/>
  <c r="G53" i="6" s="1"/>
  <c r="N134" i="24"/>
  <c r="N130" i="24" s="1"/>
  <c r="N44" i="26" s="1"/>
  <c r="D24" i="12"/>
  <c r="E24" i="12" s="1"/>
  <c r="E25" i="12" s="1"/>
  <c r="D24" i="2"/>
  <c r="E24" i="2" s="1"/>
  <c r="E25" i="2" s="1"/>
  <c r="H76" i="2" s="1"/>
  <c r="H81" i="2" s="1"/>
  <c r="E49" i="13"/>
  <c r="H49" i="13" s="1"/>
  <c r="E50" i="17"/>
  <c r="G50" i="17" s="1"/>
  <c r="E46" i="2"/>
  <c r="G79" i="2" s="1"/>
  <c r="E46" i="15"/>
  <c r="G46" i="15" s="1"/>
  <c r="E45" i="20"/>
  <c r="G45" i="20" s="1"/>
  <c r="E52" i="5"/>
  <c r="E48" i="8"/>
  <c r="J82" i="8" s="1"/>
  <c r="E53" i="7"/>
  <c r="E25" i="4"/>
  <c r="H23" i="13"/>
  <c r="G24" i="6"/>
  <c r="J138" i="24"/>
  <c r="P138" i="24" s="1"/>
  <c r="E25" i="5"/>
  <c r="F29" i="11"/>
  <c r="D62" i="17"/>
  <c r="E62" i="17" s="1"/>
  <c r="E63" i="17" s="1"/>
  <c r="G63" i="17" s="1"/>
  <c r="A103" i="18"/>
  <c r="A104" i="18" s="1"/>
  <c r="A105" i="18" s="1"/>
  <c r="A106" i="18" s="1"/>
  <c r="B81" i="18"/>
  <c r="D60" i="18" s="1"/>
  <c r="B80" i="17"/>
  <c r="A90" i="13"/>
  <c r="A89" i="13" s="1"/>
  <c r="A88" i="13" s="1"/>
  <c r="A87" i="13" s="1"/>
  <c r="F27" i="11"/>
  <c r="E25" i="11"/>
  <c r="A98" i="21"/>
  <c r="A97" i="21" s="1"/>
  <c r="A96" i="21" s="1"/>
  <c r="A95" i="21" s="1"/>
  <c r="A107" i="21"/>
  <c r="N15" i="26"/>
  <c r="Q48" i="11"/>
  <c r="O146" i="24"/>
  <c r="O160" i="24" s="1"/>
  <c r="H146" i="24"/>
  <c r="H160" i="24" s="1"/>
  <c r="F146" i="24"/>
  <c r="F160" i="24" s="1"/>
  <c r="B68" i="26"/>
  <c r="G146" i="24"/>
  <c r="G160" i="24" s="1"/>
  <c r="I146" i="24"/>
  <c r="I160" i="24" s="1"/>
  <c r="K146" i="24"/>
  <c r="K160" i="24" s="1"/>
  <c r="C146" i="24"/>
  <c r="C160" i="24" s="1"/>
  <c r="M62" i="26"/>
  <c r="M7" i="24"/>
  <c r="P39" i="24"/>
  <c r="P12" i="24"/>
  <c r="M146" i="24"/>
  <c r="M160" i="24" s="1"/>
  <c r="E146" i="24"/>
  <c r="E160" i="24" s="1"/>
  <c r="Q32" i="11"/>
  <c r="P121" i="24"/>
  <c r="O34" i="24"/>
  <c r="O15" i="26"/>
  <c r="N62" i="26"/>
  <c r="N7" i="24"/>
  <c r="D146" i="24"/>
  <c r="D160" i="24" s="1"/>
  <c r="P93" i="24"/>
  <c r="C88" i="24"/>
  <c r="C89" i="24" s="1"/>
  <c r="R32" i="11"/>
  <c r="S22" i="11"/>
  <c r="S32" i="11" s="1"/>
  <c r="Q16" i="11"/>
  <c r="F31" i="11"/>
  <c r="E22" i="5"/>
  <c r="J80" i="5" s="1"/>
  <c r="E136" i="24"/>
  <c r="E98" i="7"/>
  <c r="F107" i="7"/>
  <c r="F98" i="7" s="1"/>
  <c r="E39" i="23"/>
  <c r="G39" i="23" s="1"/>
  <c r="L68" i="24"/>
  <c r="L65" i="24" s="1"/>
  <c r="L61" i="24" s="1"/>
  <c r="E48" i="18"/>
  <c r="D137" i="24"/>
  <c r="D66" i="2"/>
  <c r="E71" i="4"/>
  <c r="E73" i="4" s="1"/>
  <c r="E75" i="4" s="1"/>
  <c r="E73" i="6"/>
  <c r="E75" i="6" s="1"/>
  <c r="D71" i="5"/>
  <c r="E71" i="5" s="1"/>
  <c r="E73" i="5" s="1"/>
  <c r="E76" i="5" s="1"/>
  <c r="E77" i="5" s="1"/>
  <c r="B81" i="5" s="1"/>
  <c r="B85" i="5" s="1"/>
  <c r="A97" i="15"/>
  <c r="A98" i="15" s="1"/>
  <c r="A99" i="15" s="1"/>
  <c r="A95" i="15"/>
  <c r="A94" i="15" s="1"/>
  <c r="A93" i="15" s="1"/>
  <c r="E58" i="15"/>
  <c r="E59" i="15" s="1"/>
  <c r="B74" i="15"/>
  <c r="D58" i="15" s="1"/>
  <c r="A87" i="15"/>
  <c r="A86" i="15" s="1"/>
  <c r="A85" i="15" s="1"/>
  <c r="A84" i="15" s="1"/>
  <c r="E31" i="11"/>
  <c r="F88" i="9"/>
  <c r="E51" i="4"/>
  <c r="E21" i="8"/>
  <c r="E18" i="12"/>
  <c r="J57" i="26"/>
  <c r="P57" i="26" s="1"/>
  <c r="E50" i="9"/>
  <c r="K68" i="9" s="1"/>
  <c r="E45" i="12"/>
  <c r="I77" i="12" s="1"/>
  <c r="E20" i="9"/>
  <c r="D68" i="9"/>
  <c r="E68" i="9" s="1"/>
  <c r="E70" i="9" s="1"/>
  <c r="H139" i="24"/>
  <c r="O85" i="24"/>
  <c r="G81" i="24"/>
  <c r="M134" i="24"/>
  <c r="M130" i="24" s="1"/>
  <c r="M44" i="26" s="1"/>
  <c r="L82" i="24"/>
  <c r="O81" i="24"/>
  <c r="F85" i="24"/>
  <c r="I85" i="24"/>
  <c r="E35" i="21"/>
  <c r="D35" i="6"/>
  <c r="E35" i="6" s="1"/>
  <c r="E36" i="6" s="1"/>
  <c r="G36" i="6" s="1"/>
  <c r="E35" i="4"/>
  <c r="E36" i="4" s="1"/>
  <c r="I84" i="4" s="1"/>
  <c r="D35" i="9"/>
  <c r="D35" i="8" s="1"/>
  <c r="E35" i="8" s="1"/>
  <c r="E36" i="8" s="1"/>
  <c r="H81" i="8" s="1"/>
  <c r="I81" i="8" s="1"/>
  <c r="D36" i="5"/>
  <c r="E36" i="5" s="1"/>
  <c r="E37" i="5" s="1"/>
  <c r="P69" i="24"/>
  <c r="E65" i="21"/>
  <c r="E76" i="21" s="1"/>
  <c r="E58" i="20"/>
  <c r="D96" i="5"/>
  <c r="C105" i="5"/>
  <c r="F105" i="5"/>
  <c r="E96" i="5"/>
  <c r="B88" i="9"/>
  <c r="H88" i="9"/>
  <c r="D88" i="9"/>
  <c r="C88" i="9"/>
  <c r="E52" i="23"/>
  <c r="D52" i="26"/>
  <c r="G86" i="2"/>
  <c r="H95" i="2"/>
  <c r="G85" i="24"/>
  <c r="I82" i="24"/>
  <c r="N85" i="24"/>
  <c r="K81" i="24"/>
  <c r="H81" i="24"/>
  <c r="O86" i="24"/>
  <c r="P86" i="24" s="1"/>
  <c r="H68" i="13"/>
  <c r="J139" i="24"/>
  <c r="J82" i="24"/>
  <c r="D82" i="24"/>
  <c r="F82" i="24"/>
  <c r="O82" i="24"/>
  <c r="H26" i="13"/>
  <c r="E81" i="24"/>
  <c r="I81" i="24"/>
  <c r="M82" i="24"/>
  <c r="J81" i="24"/>
  <c r="N78" i="24"/>
  <c r="N77" i="24" s="1"/>
  <c r="M85" i="24"/>
  <c r="F81" i="24"/>
  <c r="E82" i="24"/>
  <c r="H82" i="24"/>
  <c r="K134" i="24"/>
  <c r="K130" i="24" s="1"/>
  <c r="K44" i="26" s="1"/>
  <c r="H85" i="24"/>
  <c r="O78" i="24"/>
  <c r="O77" i="24" s="1"/>
  <c r="J83" i="24"/>
  <c r="P83" i="24" s="1"/>
  <c r="D74" i="20"/>
  <c r="J85" i="24"/>
  <c r="N81" i="24"/>
  <c r="L81" i="24"/>
  <c r="G82" i="24"/>
  <c r="K85" i="24"/>
  <c r="H52" i="13"/>
  <c r="G52" i="26"/>
  <c r="B150" i="24"/>
  <c r="B164" i="24" s="1"/>
  <c r="H20" i="13"/>
  <c r="L85" i="24"/>
  <c r="N82" i="24"/>
  <c r="K82" i="24"/>
  <c r="G27" i="21"/>
  <c r="E52" i="26"/>
  <c r="C137" i="24"/>
  <c r="C134" i="24" s="1"/>
  <c r="C130" i="24" s="1"/>
  <c r="H52" i="26"/>
  <c r="C104" i="6"/>
  <c r="C95" i="6" s="1"/>
  <c r="D28" i="7"/>
  <c r="E28" i="7" s="1"/>
  <c r="C52" i="26"/>
  <c r="D89" i="8"/>
  <c r="H89" i="8"/>
  <c r="B89" i="8"/>
  <c r="F89" i="8"/>
  <c r="D27" i="8"/>
  <c r="D6" i="11"/>
  <c r="C58" i="11"/>
  <c r="C59" i="11" s="1"/>
  <c r="D26" i="4"/>
  <c r="H98" i="8"/>
  <c r="B98" i="8"/>
  <c r="F98" i="8"/>
  <c r="G98" i="8"/>
  <c r="D98" i="8"/>
  <c r="C107" i="7"/>
  <c r="D98" i="7"/>
  <c r="P55" i="26"/>
  <c r="C103" i="4"/>
  <c r="F52" i="26"/>
  <c r="F95" i="6"/>
  <c r="G104" i="6"/>
  <c r="G103" i="4"/>
  <c r="F103" i="4"/>
  <c r="B103" i="4"/>
  <c r="H103" i="4"/>
  <c r="F94" i="4"/>
  <c r="H94" i="4"/>
  <c r="D94" i="4"/>
  <c r="A100" i="13"/>
  <c r="A101" i="13" s="1"/>
  <c r="A102" i="13" s="1"/>
  <c r="E40" i="11"/>
  <c r="D27" i="5"/>
  <c r="D26" i="9"/>
  <c r="E26" i="9" s="1"/>
  <c r="E27" i="9" s="1"/>
  <c r="I65" i="9" s="1"/>
  <c r="E37" i="17"/>
  <c r="B44" i="26"/>
  <c r="B131" i="24"/>
  <c r="I33" i="3"/>
  <c r="E35" i="3"/>
  <c r="E35" i="13"/>
  <c r="E31" i="23"/>
  <c r="E35" i="18"/>
  <c r="F134" i="24"/>
  <c r="F130" i="24" s="1"/>
  <c r="F44" i="26" s="1"/>
  <c r="E35" i="15"/>
  <c r="C150" i="24"/>
  <c r="C164" i="24" s="1"/>
  <c r="B52" i="26"/>
  <c r="P54" i="26"/>
  <c r="B94" i="4"/>
  <c r="C94" i="4"/>
  <c r="F24" i="11" l="1"/>
  <c r="D61" i="13"/>
  <c r="E61" i="13" s="1"/>
  <c r="E62" i="13" s="1"/>
  <c r="H62" i="13" s="1"/>
  <c r="G52" i="5"/>
  <c r="J85" i="5"/>
  <c r="K82" i="8"/>
  <c r="K85" i="8" s="1"/>
  <c r="J85" i="8"/>
  <c r="L82" i="8"/>
  <c r="J77" i="12"/>
  <c r="K77" i="12"/>
  <c r="M68" i="9"/>
  <c r="L68" i="9"/>
  <c r="G37" i="5"/>
  <c r="H84" i="5"/>
  <c r="G74" i="12"/>
  <c r="I73" i="12"/>
  <c r="J65" i="9"/>
  <c r="M65" i="9"/>
  <c r="L81" i="8"/>
  <c r="I81" i="2"/>
  <c r="G82" i="2" s="1"/>
  <c r="H82" i="2"/>
  <c r="E77" i="21"/>
  <c r="F76" i="21"/>
  <c r="H85" i="4"/>
  <c r="G52" i="21"/>
  <c r="H83" i="4"/>
  <c r="G20" i="6"/>
  <c r="C86" i="2"/>
  <c r="E29" i="7"/>
  <c r="D11" i="11"/>
  <c r="D24" i="20" s="1"/>
  <c r="E24" i="20" s="1"/>
  <c r="E25" i="20" s="1"/>
  <c r="E64" i="20" s="1"/>
  <c r="I134" i="24"/>
  <c r="I130" i="24" s="1"/>
  <c r="I44" i="26" s="1"/>
  <c r="C46" i="11"/>
  <c r="A88" i="20"/>
  <c r="A89" i="20" s="1"/>
  <c r="A90" i="20" s="1"/>
  <c r="R43" i="11"/>
  <c r="S43" i="11" s="1"/>
  <c r="C43" i="11"/>
  <c r="D134" i="24"/>
  <c r="D130" i="24" s="1"/>
  <c r="D44" i="26" s="1"/>
  <c r="G134" i="24"/>
  <c r="G130" i="24" s="1"/>
  <c r="G44" i="26" s="1"/>
  <c r="B88" i="21"/>
  <c r="D67" i="21" s="1"/>
  <c r="E67" i="21" s="1"/>
  <c r="E68" i="21" s="1"/>
  <c r="D28" i="13"/>
  <c r="E28" i="13" s="1"/>
  <c r="E29" i="13" s="1"/>
  <c r="H29" i="13" s="1"/>
  <c r="G21" i="3"/>
  <c r="B78" i="3"/>
  <c r="E69" i="3"/>
  <c r="G16" i="23"/>
  <c r="E60" i="23"/>
  <c r="F31" i="23" s="1"/>
  <c r="I71" i="24"/>
  <c r="P71" i="24" s="1"/>
  <c r="E63" i="23"/>
  <c r="J153" i="24"/>
  <c r="J167" i="24" s="1"/>
  <c r="D85" i="12"/>
  <c r="C94" i="12"/>
  <c r="G85" i="12"/>
  <c r="H94" i="12"/>
  <c r="H85" i="12" s="1"/>
  <c r="P136" i="24"/>
  <c r="B80" i="12"/>
  <c r="K7" i="11" s="1"/>
  <c r="K23" i="11" s="1"/>
  <c r="G107" i="7"/>
  <c r="G98" i="7" s="1"/>
  <c r="A97" i="20"/>
  <c r="A98" i="20" s="1"/>
  <c r="A99" i="20" s="1"/>
  <c r="A102" i="18"/>
  <c r="A101" i="18" s="1"/>
  <c r="A100" i="18" s="1"/>
  <c r="G73" i="5"/>
  <c r="G35" i="21"/>
  <c r="G79" i="24"/>
  <c r="G75" i="24" s="1"/>
  <c r="E57" i="2"/>
  <c r="F22" i="2" s="1"/>
  <c r="B81" i="2"/>
  <c r="K9" i="11" s="1"/>
  <c r="E54" i="2"/>
  <c r="A99" i="21"/>
  <c r="A100" i="21" s="1"/>
  <c r="A101" i="21" s="1"/>
  <c r="A91" i="13"/>
  <c r="A92" i="13" s="1"/>
  <c r="A93" i="13" s="1"/>
  <c r="E35" i="9"/>
  <c r="E36" i="9" s="1"/>
  <c r="I67" i="9" s="1"/>
  <c r="G25" i="5"/>
  <c r="F22" i="11"/>
  <c r="A88" i="15"/>
  <c r="A89" i="15" s="1"/>
  <c r="A90" i="15" s="1"/>
  <c r="A104" i="17"/>
  <c r="A95" i="17"/>
  <c r="A108" i="21"/>
  <c r="A109" i="21" s="1"/>
  <c r="A110" i="21" s="1"/>
  <c r="A106" i="21"/>
  <c r="A105" i="21" s="1"/>
  <c r="A104" i="21" s="1"/>
  <c r="P139" i="24"/>
  <c r="E134" i="24"/>
  <c r="E130" i="24" s="1"/>
  <c r="E44" i="26" s="1"/>
  <c r="I22" i="5"/>
  <c r="F79" i="24"/>
  <c r="F75" i="24" s="1"/>
  <c r="P68" i="24"/>
  <c r="G48" i="18"/>
  <c r="H137" i="24"/>
  <c r="H134" i="24" s="1"/>
  <c r="H130" i="24" s="1"/>
  <c r="H44" i="26" s="1"/>
  <c r="E70" i="21"/>
  <c r="J134" i="24"/>
  <c r="J130" i="24" s="1"/>
  <c r="J44" i="26" s="1"/>
  <c r="E69" i="8"/>
  <c r="E71" i="8" s="1"/>
  <c r="E73" i="8" s="1"/>
  <c r="E74" i="8" s="1"/>
  <c r="B77" i="8" s="1"/>
  <c r="E66" i="2"/>
  <c r="E68" i="2" s="1"/>
  <c r="E71" i="2" s="1"/>
  <c r="D65" i="12"/>
  <c r="E65" i="12" s="1"/>
  <c r="E67" i="12" s="1"/>
  <c r="E69" i="12" s="1"/>
  <c r="E70" i="12" s="1"/>
  <c r="B74" i="12" s="1"/>
  <c r="P77" i="24"/>
  <c r="E53" i="12"/>
  <c r="E56" i="12"/>
  <c r="F51" i="12" s="1"/>
  <c r="K63" i="9"/>
  <c r="M63" i="9" s="1"/>
  <c r="G20" i="9"/>
  <c r="O84" i="24"/>
  <c r="P84" i="24" s="1"/>
  <c r="E77" i="6"/>
  <c r="E78" i="6" s="1"/>
  <c r="B83" i="6" s="1"/>
  <c r="J79" i="24"/>
  <c r="J75" i="24" s="1"/>
  <c r="P78" i="24"/>
  <c r="I79" i="24"/>
  <c r="I75" i="24" s="1"/>
  <c r="L79" i="24"/>
  <c r="L75" i="24" s="1"/>
  <c r="P85" i="24"/>
  <c r="M79" i="24"/>
  <c r="M75" i="24" s="1"/>
  <c r="D23" i="9"/>
  <c r="E23" i="9" s="1"/>
  <c r="E24" i="9" s="1"/>
  <c r="D37" i="7"/>
  <c r="E37" i="7" s="1"/>
  <c r="E38" i="7" s="1"/>
  <c r="G35" i="3"/>
  <c r="C131" i="24"/>
  <c r="E72" i="9"/>
  <c r="F72" i="9" s="1"/>
  <c r="E13" i="11"/>
  <c r="E30" i="11" s="1"/>
  <c r="E46" i="11" s="1"/>
  <c r="B87" i="5"/>
  <c r="F13" i="11" s="1"/>
  <c r="B11" i="28"/>
  <c r="A109" i="5"/>
  <c r="A110" i="5" s="1"/>
  <c r="A111" i="5" s="1"/>
  <c r="A112" i="5" s="1"/>
  <c r="F96" i="5"/>
  <c r="G105" i="5"/>
  <c r="C96" i="5"/>
  <c r="B105" i="5"/>
  <c r="B96" i="5" s="1"/>
  <c r="H86" i="2"/>
  <c r="H79" i="24"/>
  <c r="H75" i="24" s="1"/>
  <c r="K79" i="24"/>
  <c r="K75" i="24" s="1"/>
  <c r="N79" i="24"/>
  <c r="N75" i="24" s="1"/>
  <c r="E79" i="24"/>
  <c r="E75" i="24" s="1"/>
  <c r="P82" i="24"/>
  <c r="D14" i="11"/>
  <c r="D8" i="11"/>
  <c r="E26" i="4"/>
  <c r="E27" i="4" s="1"/>
  <c r="I82" i="4" s="1"/>
  <c r="I87" i="4" s="1"/>
  <c r="E27" i="8"/>
  <c r="E28" i="8" s="1"/>
  <c r="H79" i="8" s="1"/>
  <c r="D12" i="11"/>
  <c r="F79" i="7"/>
  <c r="C98" i="7"/>
  <c r="B107" i="7"/>
  <c r="B98" i="7" s="1"/>
  <c r="E64" i="6"/>
  <c r="B89" i="6"/>
  <c r="K15" i="11" s="1"/>
  <c r="P52" i="26"/>
  <c r="E61" i="6"/>
  <c r="G95" i="6"/>
  <c r="H104" i="6"/>
  <c r="H95" i="6" s="1"/>
  <c r="D13" i="11"/>
  <c r="D46" i="11" s="1"/>
  <c r="E27" i="5"/>
  <c r="E28" i="5" s="1"/>
  <c r="H82" i="5" s="1"/>
  <c r="G27" i="9"/>
  <c r="C44" i="26"/>
  <c r="B83" i="3"/>
  <c r="K10" i="11" s="1"/>
  <c r="B85" i="18"/>
  <c r="G35" i="18"/>
  <c r="G31" i="23"/>
  <c r="B77" i="23"/>
  <c r="K26" i="11" s="1"/>
  <c r="H35" i="13"/>
  <c r="E67" i="13"/>
  <c r="G37" i="17"/>
  <c r="B86" i="17"/>
  <c r="B77" i="15"/>
  <c r="I22" i="11" s="1"/>
  <c r="B78" i="15"/>
  <c r="E67" i="15"/>
  <c r="F35" i="15" s="1"/>
  <c r="G35" i="15"/>
  <c r="E76" i="4"/>
  <c r="B81" i="4" s="1"/>
  <c r="F75" i="4"/>
  <c r="K85" i="5" l="1"/>
  <c r="J88" i="5"/>
  <c r="L85" i="5"/>
  <c r="I84" i="5"/>
  <c r="L84" i="5"/>
  <c r="J67" i="9"/>
  <c r="M67" i="11" s="1"/>
  <c r="O67" i="11" s="1"/>
  <c r="M67" i="9"/>
  <c r="I79" i="8"/>
  <c r="I85" i="8" s="1"/>
  <c r="L79" i="8"/>
  <c r="J73" i="12"/>
  <c r="I80" i="12"/>
  <c r="K73" i="12"/>
  <c r="I82" i="5"/>
  <c r="I88" i="5" s="1"/>
  <c r="L82" i="5"/>
  <c r="H88" i="5"/>
  <c r="H85" i="8"/>
  <c r="L85" i="8" s="1"/>
  <c r="J86" i="8" s="1"/>
  <c r="K74" i="12"/>
  <c r="H74" i="12"/>
  <c r="H80" i="12" s="1"/>
  <c r="G80" i="12"/>
  <c r="E67" i="20"/>
  <c r="F25" i="20" s="1"/>
  <c r="F46" i="11"/>
  <c r="B78" i="20"/>
  <c r="B93" i="7"/>
  <c r="K11" i="11" s="1"/>
  <c r="K27" i="11" s="1"/>
  <c r="K43" i="11" s="1"/>
  <c r="D43" i="11"/>
  <c r="B73" i="20"/>
  <c r="B77" i="20"/>
  <c r="B80" i="13"/>
  <c r="K24" i="11" s="1"/>
  <c r="E72" i="2"/>
  <c r="B75" i="2" s="1"/>
  <c r="D131" i="24"/>
  <c r="E131" i="24" s="1"/>
  <c r="F131" i="24" s="1"/>
  <c r="G131" i="24" s="1"/>
  <c r="H131" i="24" s="1"/>
  <c r="I131" i="24" s="1"/>
  <c r="J131" i="24" s="1"/>
  <c r="K131" i="24" s="1"/>
  <c r="K31" i="11"/>
  <c r="E64" i="23"/>
  <c r="B70" i="23" s="1"/>
  <c r="F63" i="23"/>
  <c r="H107" i="7"/>
  <c r="H98" i="7" s="1"/>
  <c r="B94" i="12"/>
  <c r="B85" i="12" s="1"/>
  <c r="C85" i="12"/>
  <c r="K25" i="11"/>
  <c r="G36" i="9"/>
  <c r="F49" i="2"/>
  <c r="C84" i="2"/>
  <c r="F46" i="2"/>
  <c r="F52" i="2"/>
  <c r="F25" i="2"/>
  <c r="B76" i="2"/>
  <c r="F18" i="2"/>
  <c r="F30" i="11"/>
  <c r="F55" i="23"/>
  <c r="F48" i="12"/>
  <c r="A99" i="6"/>
  <c r="A100" i="6" s="1"/>
  <c r="A101" i="6" s="1"/>
  <c r="A102" i="6" s="1"/>
  <c r="B85" i="6"/>
  <c r="F15" i="11" s="1"/>
  <c r="F36" i="6"/>
  <c r="E60" i="9"/>
  <c r="F53" i="9" s="1"/>
  <c r="B72" i="23"/>
  <c r="G26" i="11" s="1"/>
  <c r="F52" i="23"/>
  <c r="E65" i="7"/>
  <c r="F56" i="7" s="1"/>
  <c r="F39" i="23"/>
  <c r="F26" i="23"/>
  <c r="D72" i="24" s="1"/>
  <c r="A96" i="17"/>
  <c r="A97" i="17" s="1"/>
  <c r="A98" i="17" s="1"/>
  <c r="A94" i="17"/>
  <c r="A93" i="17" s="1"/>
  <c r="A92" i="17" s="1"/>
  <c r="A105" i="17"/>
  <c r="A106" i="17" s="1"/>
  <c r="A107" i="17" s="1"/>
  <c r="A103" i="17"/>
  <c r="A102" i="17" s="1"/>
  <c r="A101" i="17" s="1"/>
  <c r="F73" i="8"/>
  <c r="P137" i="24"/>
  <c r="F16" i="23"/>
  <c r="F23" i="23"/>
  <c r="F58" i="23"/>
  <c r="F42" i="23"/>
  <c r="C80" i="23"/>
  <c r="F20" i="23"/>
  <c r="F71" i="2"/>
  <c r="F69" i="12"/>
  <c r="A108" i="6"/>
  <c r="A107" i="6" s="1"/>
  <c r="A106" i="6" s="1"/>
  <c r="A105" i="6" s="1"/>
  <c r="B15" i="28"/>
  <c r="F22" i="12"/>
  <c r="C83" i="12"/>
  <c r="F18" i="12"/>
  <c r="F45" i="12"/>
  <c r="B75" i="12"/>
  <c r="F25" i="12"/>
  <c r="O79" i="24"/>
  <c r="O75" i="24" s="1"/>
  <c r="B83" i="9"/>
  <c r="G24" i="9"/>
  <c r="I64" i="9"/>
  <c r="E73" i="9"/>
  <c r="A108" i="5"/>
  <c r="A107" i="5" s="1"/>
  <c r="A106" i="5" s="1"/>
  <c r="O133" i="24"/>
  <c r="P133" i="24" s="1"/>
  <c r="H105" i="5"/>
  <c r="H96" i="5" s="1"/>
  <c r="G96" i="5"/>
  <c r="E60" i="12"/>
  <c r="B13" i="28"/>
  <c r="A98" i="12"/>
  <c r="B76" i="12"/>
  <c r="A89" i="12"/>
  <c r="E80" i="7"/>
  <c r="B84" i="7" s="1"/>
  <c r="B83" i="8"/>
  <c r="K12" i="11" s="1"/>
  <c r="E59" i="8"/>
  <c r="E73" i="21"/>
  <c r="B83" i="21" s="1"/>
  <c r="B87" i="21"/>
  <c r="I31" i="11" s="1"/>
  <c r="B84" i="6"/>
  <c r="G15" i="11" s="1"/>
  <c r="B79" i="8"/>
  <c r="B14" i="28"/>
  <c r="A102" i="8"/>
  <c r="A93" i="8"/>
  <c r="F30" i="6"/>
  <c r="C93" i="6"/>
  <c r="F53" i="6"/>
  <c r="F56" i="6"/>
  <c r="F24" i="6"/>
  <c r="F27" i="6"/>
  <c r="F59" i="6"/>
  <c r="F75" i="6"/>
  <c r="F20" i="6"/>
  <c r="E63" i="5"/>
  <c r="F28" i="5" s="1"/>
  <c r="B91" i="5"/>
  <c r="K13" i="11" s="1"/>
  <c r="K29" i="11"/>
  <c r="D66" i="17"/>
  <c r="E66" i="17" s="1"/>
  <c r="E67" i="17" s="1"/>
  <c r="D64" i="18"/>
  <c r="E64" i="18" s="1"/>
  <c r="E65" i="18" s="1"/>
  <c r="K30" i="11"/>
  <c r="C87" i="3"/>
  <c r="F28" i="3"/>
  <c r="F25" i="3"/>
  <c r="F49" i="3"/>
  <c r="F35" i="3"/>
  <c r="G10" i="11"/>
  <c r="F31" i="3"/>
  <c r="F46" i="3"/>
  <c r="F64" i="3"/>
  <c r="F21" i="3"/>
  <c r="K22" i="11"/>
  <c r="H78" i="15"/>
  <c r="F27" i="15"/>
  <c r="F59" i="15"/>
  <c r="F49" i="15"/>
  <c r="F46" i="15"/>
  <c r="C81" i="15"/>
  <c r="F30" i="15"/>
  <c r="F24" i="15"/>
  <c r="F20" i="15"/>
  <c r="B73" i="15"/>
  <c r="F62" i="15"/>
  <c r="F65" i="15"/>
  <c r="J72" i="4"/>
  <c r="M64" i="9" l="1"/>
  <c r="J64" i="9"/>
  <c r="M64" i="11" s="1"/>
  <c r="N68" i="11"/>
  <c r="O68" i="11" s="1"/>
  <c r="K88" i="5"/>
  <c r="H86" i="8"/>
  <c r="B75" i="20"/>
  <c r="K80" i="12"/>
  <c r="I81" i="12" s="1"/>
  <c r="F18" i="20"/>
  <c r="M65" i="11"/>
  <c r="L88" i="5"/>
  <c r="J89" i="5" s="1"/>
  <c r="E68" i="20"/>
  <c r="C81" i="20"/>
  <c r="F94" i="20" s="1"/>
  <c r="F85" i="20" s="1"/>
  <c r="F62" i="20"/>
  <c r="F45" i="20"/>
  <c r="F22" i="20"/>
  <c r="J80" i="12"/>
  <c r="N64" i="11"/>
  <c r="F48" i="20"/>
  <c r="F58" i="20"/>
  <c r="K14" i="11"/>
  <c r="K6" i="11"/>
  <c r="G85" i="9"/>
  <c r="G25" i="11"/>
  <c r="P25" i="11" s="1"/>
  <c r="H9" i="11"/>
  <c r="G7" i="11"/>
  <c r="L7" i="11" s="1"/>
  <c r="M7" i="11" s="1"/>
  <c r="H7" i="11"/>
  <c r="H80" i="13"/>
  <c r="D64" i="13"/>
  <c r="E64" i="13" s="1"/>
  <c r="E65" i="13" s="1"/>
  <c r="H65" i="13" s="1"/>
  <c r="A99" i="2"/>
  <c r="C99" i="2" s="1"/>
  <c r="C90" i="2" s="1"/>
  <c r="B80" i="2"/>
  <c r="I25" i="11" s="1"/>
  <c r="B77" i="2"/>
  <c r="B78" i="2" s="1"/>
  <c r="B10" i="28"/>
  <c r="A90" i="2"/>
  <c r="A89" i="2" s="1"/>
  <c r="A88" i="2" s="1"/>
  <c r="A87" i="2" s="1"/>
  <c r="L15" i="11"/>
  <c r="M15" i="11" s="1"/>
  <c r="P15" i="11"/>
  <c r="B71" i="23"/>
  <c r="B76" i="23" s="1"/>
  <c r="I26" i="11" s="1"/>
  <c r="B73" i="23"/>
  <c r="A95" i="23"/>
  <c r="H95" i="23" s="1"/>
  <c r="H86" i="23" s="1"/>
  <c r="A86" i="23"/>
  <c r="F57" i="2"/>
  <c r="G9" i="11"/>
  <c r="L9" i="11" s="1"/>
  <c r="M9" i="11" s="1"/>
  <c r="A98" i="6"/>
  <c r="A97" i="6" s="1"/>
  <c r="A96" i="6" s="1"/>
  <c r="B77" i="9"/>
  <c r="F27" i="9"/>
  <c r="F20" i="9"/>
  <c r="B79" i="12"/>
  <c r="I7" i="11" s="1"/>
  <c r="I23" i="11" s="1"/>
  <c r="F50" i="9"/>
  <c r="F24" i="9"/>
  <c r="F30" i="9"/>
  <c r="F55" i="9"/>
  <c r="F36" i="9"/>
  <c r="F58" i="9"/>
  <c r="C86" i="9"/>
  <c r="F56" i="12"/>
  <c r="F60" i="7"/>
  <c r="H72" i="24"/>
  <c r="F29" i="7"/>
  <c r="F38" i="7"/>
  <c r="F32" i="7"/>
  <c r="F53" i="7"/>
  <c r="F26" i="7"/>
  <c r="F23" i="7"/>
  <c r="C95" i="7"/>
  <c r="B88" i="7"/>
  <c r="F36" i="8"/>
  <c r="I70" i="9"/>
  <c r="J72" i="24"/>
  <c r="E72" i="24"/>
  <c r="B72" i="24"/>
  <c r="B65" i="24" s="1"/>
  <c r="C72" i="24"/>
  <c r="C65" i="24" s="1"/>
  <c r="C61" i="24" s="1"/>
  <c r="G72" i="24"/>
  <c r="G65" i="24" s="1"/>
  <c r="G61" i="24" s="1"/>
  <c r="F72" i="24"/>
  <c r="F65" i="24" s="1"/>
  <c r="F61" i="24" s="1"/>
  <c r="K72" i="24"/>
  <c r="K65" i="24" s="1"/>
  <c r="K61" i="24" s="1"/>
  <c r="I72" i="24"/>
  <c r="I65" i="24" s="1"/>
  <c r="B87" i="7"/>
  <c r="B89" i="7"/>
  <c r="F60" i="23"/>
  <c r="B86" i="6"/>
  <c r="J15" i="11" s="1"/>
  <c r="AA15" i="11" s="1"/>
  <c r="A109" i="6"/>
  <c r="A110" i="6" s="1"/>
  <c r="A111" i="6" s="1"/>
  <c r="F111" i="6" s="1"/>
  <c r="F102" i="6" s="1"/>
  <c r="O132" i="24"/>
  <c r="P132" i="24" s="1"/>
  <c r="H98" i="12"/>
  <c r="H89" i="12" s="1"/>
  <c r="D98" i="12"/>
  <c r="D89" i="12" s="1"/>
  <c r="C98" i="12"/>
  <c r="C89" i="12" s="1"/>
  <c r="F98" i="12"/>
  <c r="F89" i="12" s="1"/>
  <c r="B98" i="12"/>
  <c r="B89" i="12" s="1"/>
  <c r="E98" i="12"/>
  <c r="E89" i="12" s="1"/>
  <c r="G98" i="12"/>
  <c r="G89" i="12" s="1"/>
  <c r="F21" i="8"/>
  <c r="C15" i="10"/>
  <c r="B76" i="9"/>
  <c r="F54" i="8"/>
  <c r="C87" i="8"/>
  <c r="C102" i="8" s="1"/>
  <c r="C93" i="8" s="1"/>
  <c r="F31" i="8"/>
  <c r="F48" i="8"/>
  <c r="H74" i="15"/>
  <c r="F7" i="11"/>
  <c r="F23" i="11"/>
  <c r="B77" i="12"/>
  <c r="A88" i="12"/>
  <c r="A87" i="12" s="1"/>
  <c r="A86" i="12" s="1"/>
  <c r="A90" i="12"/>
  <c r="A91" i="12" s="1"/>
  <c r="A92" i="12" s="1"/>
  <c r="A99" i="12"/>
  <c r="A97" i="12"/>
  <c r="F25" i="8"/>
  <c r="F28" i="8"/>
  <c r="B78" i="8"/>
  <c r="H12" i="11" s="1"/>
  <c r="F51" i="8"/>
  <c r="D108" i="6"/>
  <c r="D99" i="6" s="1"/>
  <c r="B107" i="6"/>
  <c r="B98" i="6" s="1"/>
  <c r="F108" i="6"/>
  <c r="F99" i="6" s="1"/>
  <c r="G108" i="6"/>
  <c r="G99" i="6" s="1"/>
  <c r="H108" i="6"/>
  <c r="H99" i="6" s="1"/>
  <c r="B88" i="6"/>
  <c r="I15" i="11" s="1"/>
  <c r="F65" i="21"/>
  <c r="F24" i="21"/>
  <c r="C92" i="21"/>
  <c r="F52" i="21"/>
  <c r="F30" i="21"/>
  <c r="F55" i="21"/>
  <c r="B85" i="21"/>
  <c r="F35" i="21"/>
  <c r="F27" i="21"/>
  <c r="G31" i="11"/>
  <c r="P31" i="11" s="1"/>
  <c r="F20" i="21"/>
  <c r="F68" i="21"/>
  <c r="B106" i="6"/>
  <c r="B97" i="6" s="1"/>
  <c r="D105" i="6"/>
  <c r="D96" i="6" s="1"/>
  <c r="B108" i="6"/>
  <c r="B99" i="6" s="1"/>
  <c r="E108" i="6"/>
  <c r="E99" i="6" s="1"/>
  <c r="C108" i="6"/>
  <c r="C99" i="6" s="1"/>
  <c r="E105" i="6"/>
  <c r="E96" i="6" s="1"/>
  <c r="A92" i="8"/>
  <c r="A91" i="8" s="1"/>
  <c r="A90" i="8" s="1"/>
  <c r="A94" i="8"/>
  <c r="A95" i="8" s="1"/>
  <c r="A96" i="8" s="1"/>
  <c r="A103" i="8"/>
  <c r="A104" i="8" s="1"/>
  <c r="A105" i="8" s="1"/>
  <c r="A101" i="8"/>
  <c r="A100" i="8" s="1"/>
  <c r="A99" i="8" s="1"/>
  <c r="F12" i="11"/>
  <c r="F64" i="6"/>
  <c r="K46" i="11"/>
  <c r="F105" i="6"/>
  <c r="F96" i="6" s="1"/>
  <c r="B105" i="6"/>
  <c r="B96" i="6" s="1"/>
  <c r="G105" i="6"/>
  <c r="G96" i="6" s="1"/>
  <c r="D107" i="6"/>
  <c r="D98" i="6" s="1"/>
  <c r="G107" i="6"/>
  <c r="G98" i="6" s="1"/>
  <c r="E106" i="6"/>
  <c r="E97" i="6" s="1"/>
  <c r="C105" i="6"/>
  <c r="C96" i="6" s="1"/>
  <c r="H107" i="6"/>
  <c r="H98" i="6" s="1"/>
  <c r="F107" i="6"/>
  <c r="F98" i="6" s="1"/>
  <c r="F106" i="6"/>
  <c r="F97" i="6" s="1"/>
  <c r="H106" i="6"/>
  <c r="H97" i="6" s="1"/>
  <c r="D106" i="6"/>
  <c r="D97" i="6" s="1"/>
  <c r="H105" i="6"/>
  <c r="H96" i="6" s="1"/>
  <c r="C106" i="6"/>
  <c r="C97" i="6" s="1"/>
  <c r="E107" i="6"/>
  <c r="E98" i="6" s="1"/>
  <c r="C107" i="6"/>
  <c r="C98" i="6" s="1"/>
  <c r="G106" i="6"/>
  <c r="G97" i="6" s="1"/>
  <c r="F25" i="5"/>
  <c r="B86" i="5"/>
  <c r="H13" i="11" s="1"/>
  <c r="F52" i="5"/>
  <c r="C94" i="5"/>
  <c r="F73" i="5"/>
  <c r="F22" i="5"/>
  <c r="F58" i="5"/>
  <c r="F61" i="5"/>
  <c r="F37" i="5"/>
  <c r="F31" i="5"/>
  <c r="F55" i="5"/>
  <c r="B85" i="17"/>
  <c r="I29" i="11" s="1"/>
  <c r="G67" i="17"/>
  <c r="E72" i="17"/>
  <c r="F67" i="17" s="1"/>
  <c r="L10" i="11"/>
  <c r="M10" i="11" s="1"/>
  <c r="L142" i="24"/>
  <c r="P142" i="24" s="1"/>
  <c r="L140" i="24"/>
  <c r="E70" i="18"/>
  <c r="B84" i="18"/>
  <c r="I30" i="11" s="1"/>
  <c r="H73" i="15"/>
  <c r="G22" i="11"/>
  <c r="B75" i="15"/>
  <c r="D65" i="24"/>
  <c r="D61" i="24" s="1"/>
  <c r="D98" i="15"/>
  <c r="D89" i="15" s="1"/>
  <c r="E98" i="15"/>
  <c r="E89" i="15" s="1"/>
  <c r="F98" i="15"/>
  <c r="F89" i="15" s="1"/>
  <c r="B93" i="15"/>
  <c r="B84" i="15" s="1"/>
  <c r="G95" i="15"/>
  <c r="G86" i="15" s="1"/>
  <c r="F94" i="15"/>
  <c r="F85" i="15" s="1"/>
  <c r="F95" i="15"/>
  <c r="F86" i="15" s="1"/>
  <c r="H94" i="15"/>
  <c r="H85" i="15" s="1"/>
  <c r="G97" i="15"/>
  <c r="G88" i="15" s="1"/>
  <c r="D95" i="15"/>
  <c r="D86" i="15" s="1"/>
  <c r="B96" i="15"/>
  <c r="B87" i="15" s="1"/>
  <c r="H98" i="15"/>
  <c r="H89" i="15" s="1"/>
  <c r="F99" i="15"/>
  <c r="F90" i="15" s="1"/>
  <c r="B98" i="15"/>
  <c r="B89" i="15" s="1"/>
  <c r="C98" i="15"/>
  <c r="C89" i="15" s="1"/>
  <c r="H97" i="15"/>
  <c r="H88" i="15" s="1"/>
  <c r="B94" i="15"/>
  <c r="B85" i="15" s="1"/>
  <c r="C93" i="15"/>
  <c r="C84" i="15" s="1"/>
  <c r="B97" i="15"/>
  <c r="B88" i="15" s="1"/>
  <c r="C94" i="15"/>
  <c r="C85" i="15" s="1"/>
  <c r="G93" i="15"/>
  <c r="G84" i="15" s="1"/>
  <c r="F97" i="15"/>
  <c r="F88" i="15" s="1"/>
  <c r="D94" i="15"/>
  <c r="D85" i="15" s="1"/>
  <c r="B95" i="15"/>
  <c r="B86" i="15" s="1"/>
  <c r="B99" i="15"/>
  <c r="B90" i="15" s="1"/>
  <c r="E99" i="15"/>
  <c r="E90" i="15" s="1"/>
  <c r="G98" i="15"/>
  <c r="G89" i="15" s="1"/>
  <c r="C96" i="15"/>
  <c r="C87" i="15" s="1"/>
  <c r="E95" i="15"/>
  <c r="E86" i="15" s="1"/>
  <c r="G94" i="15"/>
  <c r="G85" i="15" s="1"/>
  <c r="F96" i="15"/>
  <c r="F87" i="15" s="1"/>
  <c r="G96" i="15"/>
  <c r="G87" i="15" s="1"/>
  <c r="D97" i="15"/>
  <c r="D88" i="15" s="1"/>
  <c r="E96" i="15"/>
  <c r="E87" i="15" s="1"/>
  <c r="H95" i="15"/>
  <c r="H86" i="15" s="1"/>
  <c r="C95" i="15"/>
  <c r="C86" i="15" s="1"/>
  <c r="D99" i="15"/>
  <c r="D90" i="15" s="1"/>
  <c r="H99" i="15"/>
  <c r="H90" i="15" s="1"/>
  <c r="C97" i="15"/>
  <c r="C88" i="15" s="1"/>
  <c r="E94" i="15"/>
  <c r="E85" i="15" s="1"/>
  <c r="E97" i="15"/>
  <c r="E88" i="15" s="1"/>
  <c r="D93" i="15"/>
  <c r="D84" i="15" s="1"/>
  <c r="H93" i="15"/>
  <c r="H84" i="15" s="1"/>
  <c r="E93" i="15"/>
  <c r="E84" i="15" s="1"/>
  <c r="H96" i="15"/>
  <c r="H87" i="15" s="1"/>
  <c r="D96" i="15"/>
  <c r="D87" i="15" s="1"/>
  <c r="F93" i="15"/>
  <c r="F84" i="15" s="1"/>
  <c r="G99" i="15"/>
  <c r="G90" i="15" s="1"/>
  <c r="C99" i="15"/>
  <c r="C90" i="15" s="1"/>
  <c r="P26" i="11"/>
  <c r="F67" i="15"/>
  <c r="K32" i="11"/>
  <c r="K33" i="11"/>
  <c r="B9" i="28"/>
  <c r="A98" i="4"/>
  <c r="A107" i="4"/>
  <c r="B84" i="4"/>
  <c r="B79" i="20" l="1"/>
  <c r="B76" i="20"/>
  <c r="H94" i="20"/>
  <c r="H85" i="20" s="1"/>
  <c r="D98" i="20"/>
  <c r="D89" i="20" s="1"/>
  <c r="H99" i="20"/>
  <c r="H90" i="20" s="1"/>
  <c r="D93" i="20"/>
  <c r="D84" i="20" s="1"/>
  <c r="B97" i="20"/>
  <c r="B88" i="20" s="1"/>
  <c r="B94" i="20"/>
  <c r="B85" i="20" s="1"/>
  <c r="B93" i="20"/>
  <c r="B84" i="20" s="1"/>
  <c r="B95" i="20"/>
  <c r="B86" i="20" s="1"/>
  <c r="C95" i="20"/>
  <c r="C86" i="20" s="1"/>
  <c r="G98" i="20"/>
  <c r="G89" i="20" s="1"/>
  <c r="E97" i="20"/>
  <c r="E88" i="20" s="1"/>
  <c r="F95" i="20"/>
  <c r="F86" i="20" s="1"/>
  <c r="N69" i="11"/>
  <c r="O64" i="11"/>
  <c r="O65" i="11"/>
  <c r="M69" i="11"/>
  <c r="E95" i="20"/>
  <c r="E86" i="20" s="1"/>
  <c r="D94" i="20"/>
  <c r="D85" i="20" s="1"/>
  <c r="D99" i="20"/>
  <c r="D90" i="20" s="1"/>
  <c r="B99" i="20"/>
  <c r="B90" i="20" s="1"/>
  <c r="F99" i="20"/>
  <c r="F90" i="20" s="1"/>
  <c r="G94" i="20"/>
  <c r="G85" i="20" s="1"/>
  <c r="G95" i="20"/>
  <c r="G86" i="20" s="1"/>
  <c r="C97" i="20"/>
  <c r="C88" i="20" s="1"/>
  <c r="C98" i="20"/>
  <c r="C89" i="20" s="1"/>
  <c r="E98" i="20"/>
  <c r="E89" i="20" s="1"/>
  <c r="B98" i="20"/>
  <c r="B89" i="20" s="1"/>
  <c r="D97" i="20"/>
  <c r="D88" i="20" s="1"/>
  <c r="F96" i="20"/>
  <c r="F87" i="20" s="1"/>
  <c r="G93" i="20"/>
  <c r="G84" i="20" s="1"/>
  <c r="E93" i="20"/>
  <c r="E84" i="20" s="1"/>
  <c r="C99" i="20"/>
  <c r="C90" i="20" s="1"/>
  <c r="H95" i="20"/>
  <c r="H86" i="20" s="1"/>
  <c r="E96" i="20"/>
  <c r="E87" i="20" s="1"/>
  <c r="H97" i="20"/>
  <c r="H88" i="20" s="1"/>
  <c r="H96" i="20"/>
  <c r="H87" i="20" s="1"/>
  <c r="C96" i="20"/>
  <c r="C87" i="20" s="1"/>
  <c r="D95" i="20"/>
  <c r="D86" i="20" s="1"/>
  <c r="H98" i="20"/>
  <c r="H89" i="20" s="1"/>
  <c r="H93" i="20"/>
  <c r="H84" i="20" s="1"/>
  <c r="C93" i="20"/>
  <c r="C84" i="20" s="1"/>
  <c r="C94" i="20"/>
  <c r="C85" i="20" s="1"/>
  <c r="G99" i="20"/>
  <c r="G90" i="20" s="1"/>
  <c r="D96" i="20"/>
  <c r="D87" i="20" s="1"/>
  <c r="E94" i="20"/>
  <c r="E85" i="20" s="1"/>
  <c r="G96" i="20"/>
  <c r="G87" i="20" s="1"/>
  <c r="B96" i="20"/>
  <c r="B87" i="20" s="1"/>
  <c r="E99" i="20"/>
  <c r="E90" i="20" s="1"/>
  <c r="F97" i="20"/>
  <c r="F88" i="20" s="1"/>
  <c r="G97" i="20"/>
  <c r="G88" i="20" s="1"/>
  <c r="F98" i="20"/>
  <c r="F89" i="20" s="1"/>
  <c r="F67" i="20"/>
  <c r="F93" i="20"/>
  <c r="F84" i="20" s="1"/>
  <c r="G81" i="12"/>
  <c r="J70" i="9"/>
  <c r="H89" i="5"/>
  <c r="H6" i="11"/>
  <c r="G80" i="9"/>
  <c r="B82" i="2"/>
  <c r="N9" i="11" s="1"/>
  <c r="E70" i="13"/>
  <c r="F35" i="13" s="1"/>
  <c r="H76" i="13"/>
  <c r="A91" i="2"/>
  <c r="A92" i="2" s="1"/>
  <c r="A93" i="2" s="1"/>
  <c r="B79" i="13"/>
  <c r="I24" i="11" s="1"/>
  <c r="E99" i="2"/>
  <c r="E90" i="2" s="1"/>
  <c r="G23" i="11"/>
  <c r="P23" i="11" s="1"/>
  <c r="B79" i="2"/>
  <c r="F99" i="2"/>
  <c r="F90" i="2" s="1"/>
  <c r="D99" i="2"/>
  <c r="D90" i="2" s="1"/>
  <c r="I9" i="11"/>
  <c r="B99" i="2"/>
  <c r="B90" i="2" s="1"/>
  <c r="H99" i="2"/>
  <c r="H90" i="2" s="1"/>
  <c r="F25" i="11"/>
  <c r="J25" i="11"/>
  <c r="AA25" i="11" s="1"/>
  <c r="G99" i="2"/>
  <c r="G90" i="2" s="1"/>
  <c r="J9" i="11"/>
  <c r="F9" i="11"/>
  <c r="G11" i="11"/>
  <c r="P11" i="11" s="1"/>
  <c r="H11" i="11"/>
  <c r="B90" i="7"/>
  <c r="B94" i="7" s="1"/>
  <c r="F11" i="11"/>
  <c r="F43" i="11" s="1"/>
  <c r="G14" i="11"/>
  <c r="L14" i="11" s="1"/>
  <c r="D88" i="7"/>
  <c r="D89" i="7" s="1"/>
  <c r="B82" i="8"/>
  <c r="I12" i="11" s="1"/>
  <c r="A102" i="7"/>
  <c r="A101" i="7" s="1"/>
  <c r="A100" i="7" s="1"/>
  <c r="A99" i="7" s="1"/>
  <c r="A100" i="2"/>
  <c r="A98" i="2"/>
  <c r="C95" i="23"/>
  <c r="C86" i="23" s="1"/>
  <c r="D95" i="23"/>
  <c r="D86" i="23" s="1"/>
  <c r="F95" i="23"/>
  <c r="F86" i="23" s="1"/>
  <c r="G95" i="23"/>
  <c r="G86" i="23" s="1"/>
  <c r="B95" i="23"/>
  <c r="B86" i="23" s="1"/>
  <c r="A85" i="23"/>
  <c r="A84" i="23" s="1"/>
  <c r="A83" i="23" s="1"/>
  <c r="A87" i="23"/>
  <c r="A88" i="23" s="1"/>
  <c r="A89" i="23" s="1"/>
  <c r="A96" i="23"/>
  <c r="A94" i="23"/>
  <c r="E95" i="23"/>
  <c r="E86" i="23" s="1"/>
  <c r="F26" i="11"/>
  <c r="I64" i="24"/>
  <c r="B74" i="23"/>
  <c r="G6" i="11"/>
  <c r="E65" i="24"/>
  <c r="E61" i="24" s="1"/>
  <c r="B82" i="9"/>
  <c r="B78" i="9"/>
  <c r="O130" i="24"/>
  <c r="O44" i="26" s="1"/>
  <c r="F60" i="9"/>
  <c r="J65" i="24"/>
  <c r="J61" i="24" s="1"/>
  <c r="H65" i="24"/>
  <c r="H61" i="24" s="1"/>
  <c r="F65" i="7"/>
  <c r="K70" i="9"/>
  <c r="B90" i="6"/>
  <c r="N15" i="11" s="1"/>
  <c r="P72" i="24"/>
  <c r="D109" i="6"/>
  <c r="D100" i="6" s="1"/>
  <c r="H109" i="6"/>
  <c r="H100" i="6" s="1"/>
  <c r="D110" i="6"/>
  <c r="D101" i="6" s="1"/>
  <c r="C110" i="6"/>
  <c r="C101" i="6" s="1"/>
  <c r="F110" i="6"/>
  <c r="F101" i="6" s="1"/>
  <c r="G109" i="6"/>
  <c r="G100" i="6" s="1"/>
  <c r="G110" i="6"/>
  <c r="G101" i="6" s="1"/>
  <c r="C111" i="6"/>
  <c r="C102" i="6" s="1"/>
  <c r="G111" i="6"/>
  <c r="G102" i="6" s="1"/>
  <c r="E14" i="11"/>
  <c r="E29" i="11" s="1"/>
  <c r="E32" i="11" s="1"/>
  <c r="A111" i="7"/>
  <c r="A112" i="7" s="1"/>
  <c r="B16" i="28"/>
  <c r="B92" i="7"/>
  <c r="I11" i="11" s="1"/>
  <c r="I27" i="11" s="1"/>
  <c r="I43" i="11" s="1"/>
  <c r="B87" i="6"/>
  <c r="O15" i="11" s="1"/>
  <c r="B111" i="6"/>
  <c r="B102" i="6" s="1"/>
  <c r="C109" i="6"/>
  <c r="C100" i="6" s="1"/>
  <c r="H111" i="6"/>
  <c r="H102" i="6" s="1"/>
  <c r="E111" i="6"/>
  <c r="E102" i="6" s="1"/>
  <c r="E109" i="6"/>
  <c r="E100" i="6" s="1"/>
  <c r="B110" i="6"/>
  <c r="B101" i="6" s="1"/>
  <c r="F109" i="6"/>
  <c r="F100" i="6" s="1"/>
  <c r="E110" i="6"/>
  <c r="E101" i="6" s="1"/>
  <c r="H110" i="6"/>
  <c r="H101" i="6" s="1"/>
  <c r="D111" i="6"/>
  <c r="D102" i="6" s="1"/>
  <c r="B109" i="6"/>
  <c r="B100" i="6" s="1"/>
  <c r="B80" i="8"/>
  <c r="H75" i="15"/>
  <c r="H79" i="15" s="1"/>
  <c r="O22" i="11" s="1"/>
  <c r="H99" i="8"/>
  <c r="H90" i="8" s="1"/>
  <c r="F14" i="11"/>
  <c r="E104" i="8"/>
  <c r="E95" i="8" s="1"/>
  <c r="E105" i="8"/>
  <c r="E96" i="8" s="1"/>
  <c r="H103" i="8"/>
  <c r="H94" i="8" s="1"/>
  <c r="B102" i="8"/>
  <c r="B93" i="8" s="1"/>
  <c r="E102" i="8"/>
  <c r="E93" i="8" s="1"/>
  <c r="B103" i="8"/>
  <c r="B94" i="8" s="1"/>
  <c r="F104" i="8"/>
  <c r="F95" i="8" s="1"/>
  <c r="G105" i="8"/>
  <c r="G96" i="8" s="1"/>
  <c r="F102" i="8"/>
  <c r="F93" i="8" s="1"/>
  <c r="B105" i="8"/>
  <c r="B96" i="8" s="1"/>
  <c r="D105" i="8"/>
  <c r="D96" i="8" s="1"/>
  <c r="A101" i="9"/>
  <c r="B12" i="28"/>
  <c r="A92" i="9"/>
  <c r="B79" i="9"/>
  <c r="G81" i="9" s="1"/>
  <c r="G12" i="11"/>
  <c r="F59" i="8"/>
  <c r="D102" i="8"/>
  <c r="D93" i="8" s="1"/>
  <c r="H102" i="8"/>
  <c r="H93" i="8" s="1"/>
  <c r="G102" i="8"/>
  <c r="G93" i="8" s="1"/>
  <c r="H104" i="8"/>
  <c r="H95" i="8" s="1"/>
  <c r="D104" i="8"/>
  <c r="D95" i="8" s="1"/>
  <c r="G104" i="8"/>
  <c r="G95" i="8" s="1"/>
  <c r="G103" i="8"/>
  <c r="G94" i="8" s="1"/>
  <c r="A100" i="12"/>
  <c r="H99" i="12"/>
  <c r="H90" i="12" s="1"/>
  <c r="G99" i="12"/>
  <c r="G90" i="12" s="1"/>
  <c r="B99" i="12"/>
  <c r="B90" i="12" s="1"/>
  <c r="D99" i="12"/>
  <c r="D90" i="12" s="1"/>
  <c r="E99" i="12"/>
  <c r="E90" i="12" s="1"/>
  <c r="F99" i="12"/>
  <c r="F90" i="12" s="1"/>
  <c r="C99" i="12"/>
  <c r="C90" i="12" s="1"/>
  <c r="J7" i="11"/>
  <c r="B81" i="12"/>
  <c r="N7" i="11" s="1"/>
  <c r="N23" i="11" s="1"/>
  <c r="B78" i="12"/>
  <c r="O7" i="11" s="1"/>
  <c r="A96" i="12"/>
  <c r="C97" i="12"/>
  <c r="C88" i="12" s="1"/>
  <c r="B97" i="12"/>
  <c r="B88" i="12" s="1"/>
  <c r="E97" i="12"/>
  <c r="E88" i="12" s="1"/>
  <c r="D97" i="12"/>
  <c r="D88" i="12" s="1"/>
  <c r="G97" i="12"/>
  <c r="G88" i="12" s="1"/>
  <c r="F97" i="12"/>
  <c r="F88" i="12" s="1"/>
  <c r="H97" i="12"/>
  <c r="H88" i="12" s="1"/>
  <c r="B86" i="21"/>
  <c r="O31" i="11" s="1"/>
  <c r="B89" i="21"/>
  <c r="N31" i="11" s="1"/>
  <c r="J31" i="11"/>
  <c r="AA31" i="11" s="1"/>
  <c r="D104" i="21"/>
  <c r="D95" i="21" s="1"/>
  <c r="B106" i="21"/>
  <c r="B97" i="21" s="1"/>
  <c r="E107" i="21"/>
  <c r="E98" i="21" s="1"/>
  <c r="D105" i="21"/>
  <c r="D96" i="21" s="1"/>
  <c r="F109" i="21"/>
  <c r="F100" i="21" s="1"/>
  <c r="H108" i="21"/>
  <c r="H99" i="21" s="1"/>
  <c r="H109" i="21"/>
  <c r="H100" i="21" s="1"/>
  <c r="E108" i="21"/>
  <c r="E99" i="21" s="1"/>
  <c r="C106" i="21"/>
  <c r="C97" i="21" s="1"/>
  <c r="D108" i="21"/>
  <c r="D99" i="21" s="1"/>
  <c r="H105" i="21"/>
  <c r="H96" i="21" s="1"/>
  <c r="H106" i="21"/>
  <c r="H97" i="21" s="1"/>
  <c r="B107" i="21"/>
  <c r="B98" i="21" s="1"/>
  <c r="B108" i="21"/>
  <c r="B99" i="21" s="1"/>
  <c r="H107" i="21"/>
  <c r="H98" i="21" s="1"/>
  <c r="F105" i="21"/>
  <c r="F96" i="21" s="1"/>
  <c r="G109" i="21"/>
  <c r="G100" i="21" s="1"/>
  <c r="G105" i="21"/>
  <c r="G96" i="21" s="1"/>
  <c r="F106" i="21"/>
  <c r="F97" i="21" s="1"/>
  <c r="C109" i="21"/>
  <c r="C100" i="21" s="1"/>
  <c r="D110" i="21"/>
  <c r="D101" i="21" s="1"/>
  <c r="H104" i="21"/>
  <c r="H95" i="21" s="1"/>
  <c r="F108" i="21"/>
  <c r="F99" i="21" s="1"/>
  <c r="D107" i="21"/>
  <c r="D98" i="21" s="1"/>
  <c r="G107" i="21"/>
  <c r="G98" i="21" s="1"/>
  <c r="C104" i="21"/>
  <c r="C95" i="21" s="1"/>
  <c r="G106" i="21"/>
  <c r="G97" i="21" s="1"/>
  <c r="F104" i="21"/>
  <c r="F95" i="21" s="1"/>
  <c r="D106" i="21"/>
  <c r="D97" i="21" s="1"/>
  <c r="E109" i="21"/>
  <c r="E100" i="21" s="1"/>
  <c r="E105" i="21"/>
  <c r="E96" i="21" s="1"/>
  <c r="E110" i="21"/>
  <c r="E101" i="21" s="1"/>
  <c r="B109" i="21"/>
  <c r="B100" i="21" s="1"/>
  <c r="C108" i="21"/>
  <c r="C99" i="21" s="1"/>
  <c r="G104" i="21"/>
  <c r="G95" i="21" s="1"/>
  <c r="F110" i="21"/>
  <c r="F101" i="21" s="1"/>
  <c r="F107" i="21"/>
  <c r="F98" i="21" s="1"/>
  <c r="C110" i="21"/>
  <c r="C101" i="21" s="1"/>
  <c r="B110" i="21"/>
  <c r="B101" i="21" s="1"/>
  <c r="D109" i="21"/>
  <c r="D100" i="21" s="1"/>
  <c r="C105" i="21"/>
  <c r="C96" i="21" s="1"/>
  <c r="H110" i="21"/>
  <c r="H101" i="21" s="1"/>
  <c r="C107" i="21"/>
  <c r="C98" i="21" s="1"/>
  <c r="E104" i="21"/>
  <c r="E95" i="21" s="1"/>
  <c r="G110" i="21"/>
  <c r="G101" i="21" s="1"/>
  <c r="G108" i="21"/>
  <c r="G99" i="21" s="1"/>
  <c r="B104" i="21"/>
  <c r="B95" i="21" s="1"/>
  <c r="E106" i="21"/>
  <c r="E97" i="21" s="1"/>
  <c r="B105" i="21"/>
  <c r="B96" i="21" s="1"/>
  <c r="F73" i="21"/>
  <c r="B100" i="8"/>
  <c r="B91" i="8" s="1"/>
  <c r="D100" i="8"/>
  <c r="D91" i="8" s="1"/>
  <c r="F99" i="8"/>
  <c r="F90" i="8" s="1"/>
  <c r="B99" i="8"/>
  <c r="B90" i="8" s="1"/>
  <c r="G99" i="8"/>
  <c r="G90" i="8" s="1"/>
  <c r="C100" i="8"/>
  <c r="C91" i="8" s="1"/>
  <c r="C99" i="8"/>
  <c r="C90" i="8" s="1"/>
  <c r="G101" i="8"/>
  <c r="G92" i="8" s="1"/>
  <c r="C101" i="8"/>
  <c r="C92" i="8" s="1"/>
  <c r="E101" i="8"/>
  <c r="E92" i="8" s="1"/>
  <c r="E99" i="8"/>
  <c r="E90" i="8" s="1"/>
  <c r="E100" i="8"/>
  <c r="E91" i="8" s="1"/>
  <c r="D99" i="8"/>
  <c r="D90" i="8" s="1"/>
  <c r="B104" i="8"/>
  <c r="B95" i="8" s="1"/>
  <c r="B101" i="8"/>
  <c r="B92" i="8" s="1"/>
  <c r="F103" i="8"/>
  <c r="F94" i="8" s="1"/>
  <c r="H101" i="8"/>
  <c r="H92" i="8" s="1"/>
  <c r="G100" i="8"/>
  <c r="G91" i="8" s="1"/>
  <c r="D101" i="8"/>
  <c r="D92" i="8" s="1"/>
  <c r="C105" i="8"/>
  <c r="C96" i="8" s="1"/>
  <c r="C104" i="8"/>
  <c r="C95" i="8" s="1"/>
  <c r="H105" i="8"/>
  <c r="H96" i="8" s="1"/>
  <c r="C103" i="8"/>
  <c r="C94" i="8" s="1"/>
  <c r="F101" i="8"/>
  <c r="F92" i="8" s="1"/>
  <c r="F100" i="8"/>
  <c r="F91" i="8" s="1"/>
  <c r="F105" i="8"/>
  <c r="F96" i="8" s="1"/>
  <c r="E103" i="8"/>
  <c r="E94" i="8" s="1"/>
  <c r="D103" i="8"/>
  <c r="D94" i="8" s="1"/>
  <c r="H100" i="8"/>
  <c r="H91" i="8" s="1"/>
  <c r="F63" i="5"/>
  <c r="G13" i="11"/>
  <c r="B90" i="5"/>
  <c r="I13" i="11" s="1"/>
  <c r="I46" i="11" s="1"/>
  <c r="A100" i="5"/>
  <c r="B88" i="5"/>
  <c r="B110" i="5"/>
  <c r="B101" i="5" s="1"/>
  <c r="E112" i="5"/>
  <c r="E103" i="5" s="1"/>
  <c r="B111" i="5"/>
  <c r="B102" i="5" s="1"/>
  <c r="H108" i="5"/>
  <c r="H99" i="5" s="1"/>
  <c r="F112" i="5"/>
  <c r="F103" i="5" s="1"/>
  <c r="G111" i="5"/>
  <c r="G102" i="5" s="1"/>
  <c r="F110" i="5"/>
  <c r="F101" i="5" s="1"/>
  <c r="C106" i="5"/>
  <c r="C97" i="5" s="1"/>
  <c r="G108" i="5"/>
  <c r="G99" i="5" s="1"/>
  <c r="H111" i="5"/>
  <c r="H102" i="5" s="1"/>
  <c r="C112" i="5"/>
  <c r="C103" i="5" s="1"/>
  <c r="D107" i="5"/>
  <c r="D98" i="5" s="1"/>
  <c r="E109" i="5"/>
  <c r="E100" i="5" s="1"/>
  <c r="B107" i="5"/>
  <c r="B98" i="5" s="1"/>
  <c r="D106" i="5"/>
  <c r="D97" i="5" s="1"/>
  <c r="E110" i="5"/>
  <c r="E101" i="5" s="1"/>
  <c r="C109" i="5"/>
  <c r="C100" i="5" s="1"/>
  <c r="D112" i="5"/>
  <c r="D103" i="5" s="1"/>
  <c r="E111" i="5"/>
  <c r="E102" i="5" s="1"/>
  <c r="C110" i="5"/>
  <c r="C101" i="5" s="1"/>
  <c r="F108" i="5"/>
  <c r="F99" i="5" s="1"/>
  <c r="G112" i="5"/>
  <c r="G103" i="5" s="1"/>
  <c r="C107" i="5"/>
  <c r="C98" i="5" s="1"/>
  <c r="B112" i="5"/>
  <c r="B103" i="5" s="1"/>
  <c r="D109" i="5"/>
  <c r="D100" i="5" s="1"/>
  <c r="G107" i="5"/>
  <c r="G98" i="5" s="1"/>
  <c r="D110" i="5"/>
  <c r="D101" i="5" s="1"/>
  <c r="F111" i="5"/>
  <c r="F102" i="5" s="1"/>
  <c r="H106" i="5"/>
  <c r="H97" i="5" s="1"/>
  <c r="B108" i="5"/>
  <c r="B99" i="5" s="1"/>
  <c r="G109" i="5"/>
  <c r="G100" i="5" s="1"/>
  <c r="D111" i="5"/>
  <c r="D102" i="5" s="1"/>
  <c r="H107" i="5"/>
  <c r="H98" i="5" s="1"/>
  <c r="C108" i="5"/>
  <c r="C99" i="5" s="1"/>
  <c r="C111" i="5"/>
  <c r="C102" i="5" s="1"/>
  <c r="B106" i="5"/>
  <c r="B97" i="5" s="1"/>
  <c r="E107" i="5"/>
  <c r="E98" i="5" s="1"/>
  <c r="G110" i="5"/>
  <c r="G101" i="5" s="1"/>
  <c r="E108" i="5"/>
  <c r="E99" i="5" s="1"/>
  <c r="F109" i="5"/>
  <c r="F100" i="5" s="1"/>
  <c r="H110" i="5"/>
  <c r="H101" i="5" s="1"/>
  <c r="F107" i="5"/>
  <c r="F98" i="5" s="1"/>
  <c r="H112" i="5"/>
  <c r="H103" i="5" s="1"/>
  <c r="D108" i="5"/>
  <c r="D99" i="5" s="1"/>
  <c r="G106" i="5"/>
  <c r="G97" i="5" s="1"/>
  <c r="E106" i="5"/>
  <c r="E97" i="5" s="1"/>
  <c r="B109" i="5"/>
  <c r="B100" i="5" s="1"/>
  <c r="F106" i="5"/>
  <c r="F97" i="5" s="1"/>
  <c r="H109" i="5"/>
  <c r="H100" i="5" s="1"/>
  <c r="F68" i="18"/>
  <c r="F30" i="18"/>
  <c r="F21" i="18"/>
  <c r="F48" i="18"/>
  <c r="F24" i="18"/>
  <c r="C88" i="18"/>
  <c r="F51" i="18"/>
  <c r="F27" i="18"/>
  <c r="F61" i="18"/>
  <c r="B82" i="18"/>
  <c r="B80" i="18"/>
  <c r="F35" i="18"/>
  <c r="C88" i="17"/>
  <c r="F23" i="17"/>
  <c r="F63" i="17"/>
  <c r="F37" i="17"/>
  <c r="F53" i="17"/>
  <c r="F29" i="17"/>
  <c r="F50" i="17"/>
  <c r="B81" i="17"/>
  <c r="G29" i="11" s="1"/>
  <c r="F26" i="17"/>
  <c r="F70" i="17"/>
  <c r="F32" i="17"/>
  <c r="B83" i="17"/>
  <c r="F65" i="18"/>
  <c r="P140" i="24"/>
  <c r="L134" i="24"/>
  <c r="B61" i="24"/>
  <c r="B76" i="15"/>
  <c r="B79" i="15"/>
  <c r="N22" i="11" s="1"/>
  <c r="J22" i="11"/>
  <c r="P22" i="11"/>
  <c r="D77" i="2"/>
  <c r="E82" i="4"/>
  <c r="F8" i="11"/>
  <c r="A108" i="4"/>
  <c r="A106" i="4"/>
  <c r="A99" i="4"/>
  <c r="A100" i="4" s="1"/>
  <c r="A101" i="4" s="1"/>
  <c r="A97" i="4"/>
  <c r="A96" i="4" s="1"/>
  <c r="A95" i="4" s="1"/>
  <c r="O69" i="11" l="1"/>
  <c r="M70" i="9"/>
  <c r="L70" i="9"/>
  <c r="G82" i="9"/>
  <c r="G86" i="9" s="1"/>
  <c r="F20" i="13"/>
  <c r="F23" i="13"/>
  <c r="F65" i="13"/>
  <c r="F26" i="13"/>
  <c r="F52" i="13"/>
  <c r="C83" i="13"/>
  <c r="H101" i="13" s="1"/>
  <c r="H92" i="13" s="1"/>
  <c r="F29" i="13"/>
  <c r="F62" i="13"/>
  <c r="O9" i="11"/>
  <c r="G24" i="11"/>
  <c r="P24" i="11" s="1"/>
  <c r="B75" i="13"/>
  <c r="B77" i="13" s="1"/>
  <c r="B81" i="13" s="1"/>
  <c r="N24" i="11" s="1"/>
  <c r="F49" i="13"/>
  <c r="J14" i="11"/>
  <c r="L11" i="11"/>
  <c r="M11" i="11" s="1"/>
  <c r="A103" i="7"/>
  <c r="A104" i="7" s="1"/>
  <c r="A105" i="7" s="1"/>
  <c r="J11" i="11"/>
  <c r="AA11" i="11" s="1"/>
  <c r="G27" i="11"/>
  <c r="P27" i="11" s="1"/>
  <c r="B91" i="7"/>
  <c r="O14" i="11" s="1"/>
  <c r="I6" i="11"/>
  <c r="C84" i="9"/>
  <c r="I32" i="11"/>
  <c r="N14" i="11"/>
  <c r="N11" i="11"/>
  <c r="G98" i="2"/>
  <c r="G89" i="2" s="1"/>
  <c r="F98" i="2"/>
  <c r="F89" i="2" s="1"/>
  <c r="H98" i="2"/>
  <c r="H89" i="2" s="1"/>
  <c r="B98" i="2"/>
  <c r="B89" i="2" s="1"/>
  <c r="A97" i="2"/>
  <c r="C98" i="2"/>
  <c r="C89" i="2" s="1"/>
  <c r="D98" i="2"/>
  <c r="D89" i="2" s="1"/>
  <c r="E98" i="2"/>
  <c r="E89" i="2" s="1"/>
  <c r="B100" i="2"/>
  <c r="B91" i="2" s="1"/>
  <c r="D100" i="2"/>
  <c r="D91" i="2" s="1"/>
  <c r="A101" i="2"/>
  <c r="G100" i="2"/>
  <c r="G91" i="2" s="1"/>
  <c r="C100" i="2"/>
  <c r="C91" i="2" s="1"/>
  <c r="H100" i="2"/>
  <c r="H91" i="2" s="1"/>
  <c r="E100" i="2"/>
  <c r="E91" i="2" s="1"/>
  <c r="F100" i="2"/>
  <c r="F91" i="2" s="1"/>
  <c r="F32" i="11"/>
  <c r="I158" i="24"/>
  <c r="I157" i="24" s="1"/>
  <c r="P64" i="24"/>
  <c r="I63" i="24"/>
  <c r="A93" i="23"/>
  <c r="B94" i="23"/>
  <c r="B85" i="23" s="1"/>
  <c r="H94" i="23"/>
  <c r="H85" i="23" s="1"/>
  <c r="G94" i="23"/>
  <c r="G85" i="23" s="1"/>
  <c r="F94" i="23"/>
  <c r="F85" i="23" s="1"/>
  <c r="D94" i="23"/>
  <c r="D85" i="23" s="1"/>
  <c r="C94" i="23"/>
  <c r="C85" i="23" s="1"/>
  <c r="E94" i="23"/>
  <c r="E85" i="23" s="1"/>
  <c r="A97" i="23"/>
  <c r="H96" i="23"/>
  <c r="H87" i="23" s="1"/>
  <c r="E96" i="23"/>
  <c r="E87" i="23" s="1"/>
  <c r="D96" i="23"/>
  <c r="D87" i="23" s="1"/>
  <c r="C96" i="23"/>
  <c r="C87" i="23" s="1"/>
  <c r="G96" i="23"/>
  <c r="G87" i="23" s="1"/>
  <c r="B96" i="23"/>
  <c r="B87" i="23" s="1"/>
  <c r="F96" i="23"/>
  <c r="F87" i="23" s="1"/>
  <c r="F33" i="11"/>
  <c r="J26" i="11"/>
  <c r="B75" i="23"/>
  <c r="B78" i="23"/>
  <c r="H111" i="7"/>
  <c r="H102" i="7" s="1"/>
  <c r="A110" i="7"/>
  <c r="G110" i="7" s="1"/>
  <c r="G101" i="7" s="1"/>
  <c r="G111" i="7"/>
  <c r="G102" i="7" s="1"/>
  <c r="M14" i="11"/>
  <c r="L6" i="11"/>
  <c r="M6" i="11" s="1"/>
  <c r="D82" i="9"/>
  <c r="D111" i="7"/>
  <c r="D102" i="7" s="1"/>
  <c r="F111" i="7"/>
  <c r="F102" i="7" s="1"/>
  <c r="C111" i="7"/>
  <c r="C102" i="7" s="1"/>
  <c r="E111" i="7"/>
  <c r="E102" i="7" s="1"/>
  <c r="B111" i="7"/>
  <c r="B102" i="7" s="1"/>
  <c r="P65" i="24"/>
  <c r="J12" i="11"/>
  <c r="E45" i="11"/>
  <c r="I14" i="11"/>
  <c r="B81" i="8"/>
  <c r="O12" i="11" s="1"/>
  <c r="B84" i="8"/>
  <c r="N12" i="11" s="1"/>
  <c r="H76" i="15"/>
  <c r="F6" i="11"/>
  <c r="B80" i="9"/>
  <c r="A93" i="9"/>
  <c r="A94" i="9" s="1"/>
  <c r="A95" i="9" s="1"/>
  <c r="A91" i="9"/>
  <c r="A90" i="9" s="1"/>
  <c r="A89" i="9" s="1"/>
  <c r="C101" i="9"/>
  <c r="C92" i="9" s="1"/>
  <c r="D101" i="9"/>
  <c r="D92" i="9" s="1"/>
  <c r="A102" i="9"/>
  <c r="A100" i="9"/>
  <c r="B101" i="9"/>
  <c r="B92" i="9" s="1"/>
  <c r="E101" i="9"/>
  <c r="E92" i="9" s="1"/>
  <c r="G101" i="9"/>
  <c r="G92" i="9" s="1"/>
  <c r="H101" i="9"/>
  <c r="H92" i="9" s="1"/>
  <c r="F101" i="9"/>
  <c r="F92" i="9" s="1"/>
  <c r="L12" i="11"/>
  <c r="M12" i="11" s="1"/>
  <c r="A95" i="12"/>
  <c r="C96" i="12"/>
  <c r="C87" i="12" s="1"/>
  <c r="B96" i="12"/>
  <c r="B87" i="12" s="1"/>
  <c r="F96" i="12"/>
  <c r="F87" i="12" s="1"/>
  <c r="H96" i="12"/>
  <c r="H87" i="12" s="1"/>
  <c r="G96" i="12"/>
  <c r="G87" i="12" s="1"/>
  <c r="D96" i="12"/>
  <c r="D87" i="12" s="1"/>
  <c r="E96" i="12"/>
  <c r="E87" i="12" s="1"/>
  <c r="J23" i="11"/>
  <c r="AA23" i="11" s="1"/>
  <c r="A101" i="12"/>
  <c r="B100" i="12"/>
  <c r="B91" i="12" s="1"/>
  <c r="G100" i="12"/>
  <c r="G91" i="12" s="1"/>
  <c r="H100" i="12"/>
  <c r="H91" i="12" s="1"/>
  <c r="E100" i="12"/>
  <c r="E91" i="12" s="1"/>
  <c r="F100" i="12"/>
  <c r="F91" i="12" s="1"/>
  <c r="D100" i="12"/>
  <c r="D91" i="12" s="1"/>
  <c r="C100" i="12"/>
  <c r="C91" i="12" s="1"/>
  <c r="F72" i="17"/>
  <c r="A113" i="7"/>
  <c r="D112" i="7"/>
  <c r="D103" i="7" s="1"/>
  <c r="G112" i="7"/>
  <c r="G103" i="7" s="1"/>
  <c r="E112" i="7"/>
  <c r="E103" i="7" s="1"/>
  <c r="B112" i="7"/>
  <c r="B103" i="7" s="1"/>
  <c r="F112" i="7"/>
  <c r="F103" i="7" s="1"/>
  <c r="H112" i="7"/>
  <c r="H103" i="7" s="1"/>
  <c r="C112" i="7"/>
  <c r="C103" i="7" s="1"/>
  <c r="A101" i="5"/>
  <c r="A102" i="5" s="1"/>
  <c r="A103" i="5" s="1"/>
  <c r="A99" i="5"/>
  <c r="A98" i="5" s="1"/>
  <c r="A97" i="5" s="1"/>
  <c r="B92" i="5"/>
  <c r="N13" i="11" s="1"/>
  <c r="J13" i="11"/>
  <c r="AA13" i="11" s="1"/>
  <c r="B89" i="5"/>
  <c r="O13" i="11" s="1"/>
  <c r="L13" i="11"/>
  <c r="M13" i="11" s="1"/>
  <c r="P13" i="11"/>
  <c r="F101" i="18"/>
  <c r="F92" i="18" s="1"/>
  <c r="C104" i="18"/>
  <c r="C95" i="18" s="1"/>
  <c r="H102" i="18"/>
  <c r="H93" i="18" s="1"/>
  <c r="G101" i="18"/>
  <c r="G92" i="18" s="1"/>
  <c r="E100" i="18"/>
  <c r="E91" i="18" s="1"/>
  <c r="E101" i="18"/>
  <c r="E92" i="18" s="1"/>
  <c r="F106" i="18"/>
  <c r="F97" i="18" s="1"/>
  <c r="E105" i="18"/>
  <c r="E96" i="18" s="1"/>
  <c r="H100" i="18"/>
  <c r="H91" i="18" s="1"/>
  <c r="D102" i="18"/>
  <c r="D93" i="18" s="1"/>
  <c r="F102" i="18"/>
  <c r="F93" i="18" s="1"/>
  <c r="E102" i="18"/>
  <c r="E93" i="18" s="1"/>
  <c r="E106" i="18"/>
  <c r="E97" i="18" s="1"/>
  <c r="D100" i="18"/>
  <c r="D91" i="18" s="1"/>
  <c r="C101" i="18"/>
  <c r="C92" i="18" s="1"/>
  <c r="H106" i="18"/>
  <c r="H97" i="18" s="1"/>
  <c r="F100" i="18"/>
  <c r="F91" i="18" s="1"/>
  <c r="G102" i="18"/>
  <c r="G93" i="18" s="1"/>
  <c r="H104" i="18"/>
  <c r="H95" i="18" s="1"/>
  <c r="G103" i="18"/>
  <c r="G94" i="18" s="1"/>
  <c r="B106" i="18"/>
  <c r="B97" i="18" s="1"/>
  <c r="D101" i="18"/>
  <c r="D92" i="18" s="1"/>
  <c r="G106" i="18"/>
  <c r="G97" i="18" s="1"/>
  <c r="C100" i="18"/>
  <c r="C91" i="18" s="1"/>
  <c r="C103" i="18"/>
  <c r="C94" i="18" s="1"/>
  <c r="H101" i="18"/>
  <c r="H92" i="18" s="1"/>
  <c r="B100" i="18"/>
  <c r="B91" i="18" s="1"/>
  <c r="C105" i="18"/>
  <c r="C96" i="18" s="1"/>
  <c r="C106" i="18"/>
  <c r="C97" i="18" s="1"/>
  <c r="D105" i="18"/>
  <c r="D96" i="18" s="1"/>
  <c r="F105" i="18"/>
  <c r="F96" i="18" s="1"/>
  <c r="G104" i="18"/>
  <c r="G95" i="18" s="1"/>
  <c r="C102" i="18"/>
  <c r="C93" i="18" s="1"/>
  <c r="B102" i="18"/>
  <c r="B93" i="18" s="1"/>
  <c r="B101" i="18"/>
  <c r="B92" i="18" s="1"/>
  <c r="E103" i="18"/>
  <c r="E94" i="18" s="1"/>
  <c r="G105" i="18"/>
  <c r="G96" i="18" s="1"/>
  <c r="B103" i="18"/>
  <c r="B94" i="18" s="1"/>
  <c r="F104" i="18"/>
  <c r="F95" i="18" s="1"/>
  <c r="D106" i="18"/>
  <c r="D97" i="18" s="1"/>
  <c r="H105" i="18"/>
  <c r="H96" i="18" s="1"/>
  <c r="D104" i="18"/>
  <c r="D95" i="18" s="1"/>
  <c r="F103" i="18"/>
  <c r="F94" i="18" s="1"/>
  <c r="E104" i="18"/>
  <c r="E95" i="18" s="1"/>
  <c r="B105" i="18"/>
  <c r="B96" i="18" s="1"/>
  <c r="B104" i="18"/>
  <c r="B95" i="18" s="1"/>
  <c r="H103" i="18"/>
  <c r="H94" i="18" s="1"/>
  <c r="G100" i="18"/>
  <c r="G91" i="18" s="1"/>
  <c r="D103" i="18"/>
  <c r="D94" i="18" s="1"/>
  <c r="B105" i="17"/>
  <c r="B96" i="17" s="1"/>
  <c r="F101" i="17"/>
  <c r="F92" i="17" s="1"/>
  <c r="D102" i="17"/>
  <c r="D93" i="17" s="1"/>
  <c r="F107" i="17"/>
  <c r="F98" i="17" s="1"/>
  <c r="F102" i="17"/>
  <c r="F93" i="17" s="1"/>
  <c r="B107" i="17"/>
  <c r="B98" i="17" s="1"/>
  <c r="B101" i="17"/>
  <c r="B92" i="17" s="1"/>
  <c r="D104" i="17"/>
  <c r="D95" i="17" s="1"/>
  <c r="H106" i="17"/>
  <c r="H97" i="17" s="1"/>
  <c r="E105" i="17"/>
  <c r="E96" i="17" s="1"/>
  <c r="E102" i="17"/>
  <c r="E93" i="17" s="1"/>
  <c r="C106" i="17"/>
  <c r="C97" i="17" s="1"/>
  <c r="D101" i="17"/>
  <c r="D92" i="17" s="1"/>
  <c r="H103" i="17"/>
  <c r="H94" i="17" s="1"/>
  <c r="D105" i="17"/>
  <c r="D96" i="17" s="1"/>
  <c r="F106" i="17"/>
  <c r="F97" i="17" s="1"/>
  <c r="B102" i="17"/>
  <c r="B93" i="17" s="1"/>
  <c r="B103" i="17"/>
  <c r="B94" i="17" s="1"/>
  <c r="C102" i="17"/>
  <c r="C93" i="17" s="1"/>
  <c r="C103" i="17"/>
  <c r="C94" i="17" s="1"/>
  <c r="H104" i="17"/>
  <c r="H95" i="17" s="1"/>
  <c r="F105" i="17"/>
  <c r="F96" i="17" s="1"/>
  <c r="C104" i="17"/>
  <c r="C95" i="17" s="1"/>
  <c r="G104" i="17"/>
  <c r="G95" i="17" s="1"/>
  <c r="E101" i="17"/>
  <c r="E92" i="17" s="1"/>
  <c r="G101" i="17"/>
  <c r="G92" i="17" s="1"/>
  <c r="H102" i="17"/>
  <c r="H93" i="17" s="1"/>
  <c r="C107" i="17"/>
  <c r="C98" i="17" s="1"/>
  <c r="C105" i="17"/>
  <c r="C96" i="17" s="1"/>
  <c r="E107" i="17"/>
  <c r="E98" i="17" s="1"/>
  <c r="D103" i="17"/>
  <c r="D94" i="17" s="1"/>
  <c r="G107" i="17"/>
  <c r="G98" i="17" s="1"/>
  <c r="G103" i="17"/>
  <c r="G94" i="17" s="1"/>
  <c r="H105" i="17"/>
  <c r="H96" i="17" s="1"/>
  <c r="H107" i="17"/>
  <c r="H98" i="17" s="1"/>
  <c r="G105" i="17"/>
  <c r="G96" i="17" s="1"/>
  <c r="E103" i="17"/>
  <c r="E94" i="17" s="1"/>
  <c r="B106" i="17"/>
  <c r="B97" i="17" s="1"/>
  <c r="C101" i="17"/>
  <c r="C92" i="17" s="1"/>
  <c r="E106" i="17"/>
  <c r="E97" i="17" s="1"/>
  <c r="D106" i="17"/>
  <c r="D97" i="17" s="1"/>
  <c r="H101" i="17"/>
  <c r="H92" i="17" s="1"/>
  <c r="B104" i="17"/>
  <c r="B95" i="17" s="1"/>
  <c r="D107" i="17"/>
  <c r="D98" i="17" s="1"/>
  <c r="F103" i="17"/>
  <c r="F94" i="17" s="1"/>
  <c r="G102" i="17"/>
  <c r="G93" i="17" s="1"/>
  <c r="G106" i="17"/>
  <c r="G97" i="17" s="1"/>
  <c r="E104" i="17"/>
  <c r="E95" i="17" s="1"/>
  <c r="F104" i="17"/>
  <c r="F95" i="17" s="1"/>
  <c r="G30" i="11"/>
  <c r="A94" i="18"/>
  <c r="L130" i="24"/>
  <c r="P134" i="24"/>
  <c r="B86" i="18"/>
  <c r="N30" i="11" s="1"/>
  <c r="J30" i="11"/>
  <c r="B83" i="18"/>
  <c r="O30" i="11" s="1"/>
  <c r="P29" i="11"/>
  <c r="F70" i="18"/>
  <c r="J29" i="11"/>
  <c r="B84" i="17"/>
  <c r="B87" i="17"/>
  <c r="N29" i="11" s="1"/>
  <c r="B62" i="24"/>
  <c r="AA22" i="11"/>
  <c r="A105" i="4"/>
  <c r="A109" i="4"/>
  <c r="M70" i="11" l="1"/>
  <c r="N70" i="11"/>
  <c r="K71" i="9"/>
  <c r="I71" i="9"/>
  <c r="G83" i="9"/>
  <c r="H97" i="13"/>
  <c r="H88" i="13" s="1"/>
  <c r="B102" i="13"/>
  <c r="B93" i="13" s="1"/>
  <c r="E100" i="13"/>
  <c r="E91" i="13" s="1"/>
  <c r="C99" i="13"/>
  <c r="C90" i="13" s="1"/>
  <c r="C101" i="13"/>
  <c r="C92" i="13" s="1"/>
  <c r="D97" i="13"/>
  <c r="D88" i="13" s="1"/>
  <c r="E96" i="13"/>
  <c r="E87" i="13" s="1"/>
  <c r="E98" i="13"/>
  <c r="E89" i="13" s="1"/>
  <c r="H102" i="13"/>
  <c r="H93" i="13" s="1"/>
  <c r="H96" i="13"/>
  <c r="H87" i="13" s="1"/>
  <c r="D100" i="13"/>
  <c r="D91" i="13" s="1"/>
  <c r="G96" i="13"/>
  <c r="G87" i="13" s="1"/>
  <c r="C96" i="13"/>
  <c r="C87" i="13" s="1"/>
  <c r="D101" i="13"/>
  <c r="D92" i="13" s="1"/>
  <c r="B100" i="13"/>
  <c r="B91" i="13" s="1"/>
  <c r="B98" i="13"/>
  <c r="B89" i="13" s="1"/>
  <c r="D98" i="13"/>
  <c r="D89" i="13" s="1"/>
  <c r="J27" i="11"/>
  <c r="J43" i="11" s="1"/>
  <c r="G102" i="13"/>
  <c r="G93" i="13" s="1"/>
  <c r="B97" i="13"/>
  <c r="B88" i="13" s="1"/>
  <c r="E101" i="13"/>
  <c r="E92" i="13" s="1"/>
  <c r="D102" i="13"/>
  <c r="D93" i="13" s="1"/>
  <c r="G101" i="13"/>
  <c r="G92" i="13" s="1"/>
  <c r="D96" i="13"/>
  <c r="D87" i="13" s="1"/>
  <c r="G97" i="13"/>
  <c r="G88" i="13" s="1"/>
  <c r="C102" i="13"/>
  <c r="C93" i="13" s="1"/>
  <c r="E97" i="13"/>
  <c r="E88" i="13" s="1"/>
  <c r="F100" i="13"/>
  <c r="F91" i="13" s="1"/>
  <c r="C97" i="13"/>
  <c r="C88" i="13" s="1"/>
  <c r="H99" i="13"/>
  <c r="H90" i="13" s="1"/>
  <c r="F101" i="13"/>
  <c r="F92" i="13" s="1"/>
  <c r="F96" i="13"/>
  <c r="F87" i="13" s="1"/>
  <c r="E102" i="13"/>
  <c r="E93" i="13" s="1"/>
  <c r="B96" i="13"/>
  <c r="B87" i="13" s="1"/>
  <c r="G100" i="13"/>
  <c r="G91" i="13" s="1"/>
  <c r="G99" i="13"/>
  <c r="G90" i="13" s="1"/>
  <c r="G98" i="13"/>
  <c r="G89" i="13" s="1"/>
  <c r="F98" i="13"/>
  <c r="F89" i="13" s="1"/>
  <c r="H100" i="13"/>
  <c r="H91" i="13" s="1"/>
  <c r="B101" i="13"/>
  <c r="B92" i="13" s="1"/>
  <c r="E99" i="13"/>
  <c r="E90" i="13" s="1"/>
  <c r="H98" i="13"/>
  <c r="H89" i="13" s="1"/>
  <c r="F97" i="13"/>
  <c r="F88" i="13" s="1"/>
  <c r="F102" i="13"/>
  <c r="F93" i="13" s="1"/>
  <c r="C98" i="13"/>
  <c r="C89" i="13" s="1"/>
  <c r="D99" i="13"/>
  <c r="D90" i="13" s="1"/>
  <c r="C100" i="13"/>
  <c r="C91" i="13" s="1"/>
  <c r="B99" i="13"/>
  <c r="B90" i="13" s="1"/>
  <c r="F99" i="13"/>
  <c r="F90" i="13" s="1"/>
  <c r="B78" i="13"/>
  <c r="O24" i="11" s="1"/>
  <c r="J24" i="11"/>
  <c r="AA24" i="11" s="1"/>
  <c r="H75" i="13"/>
  <c r="H77" i="13" s="1"/>
  <c r="H81" i="13" s="1"/>
  <c r="G33" i="11"/>
  <c r="G43" i="11"/>
  <c r="P43" i="11" s="1"/>
  <c r="O11" i="11"/>
  <c r="D97" i="2"/>
  <c r="D88" i="2" s="1"/>
  <c r="F97" i="2"/>
  <c r="F88" i="2" s="1"/>
  <c r="C97" i="2"/>
  <c r="C88" i="2" s="1"/>
  <c r="E97" i="2"/>
  <c r="E88" i="2" s="1"/>
  <c r="A96" i="2"/>
  <c r="B97" i="2"/>
  <c r="B88" i="2" s="1"/>
  <c r="H97" i="2"/>
  <c r="H88" i="2" s="1"/>
  <c r="G97" i="2"/>
  <c r="G88" i="2" s="1"/>
  <c r="E101" i="2"/>
  <c r="E92" i="2" s="1"/>
  <c r="A102" i="2"/>
  <c r="C101" i="2"/>
  <c r="C92" i="2" s="1"/>
  <c r="F101" i="2"/>
  <c r="F92" i="2" s="1"/>
  <c r="B101" i="2"/>
  <c r="B92" i="2" s="1"/>
  <c r="D101" i="2"/>
  <c r="D92" i="2" s="1"/>
  <c r="G101" i="2"/>
  <c r="G92" i="2" s="1"/>
  <c r="H101" i="2"/>
  <c r="H92" i="2" s="1"/>
  <c r="N26" i="11"/>
  <c r="N27" i="11"/>
  <c r="A98" i="23"/>
  <c r="D97" i="23"/>
  <c r="D88" i="23" s="1"/>
  <c r="E97" i="23"/>
  <c r="E88" i="23" s="1"/>
  <c r="G97" i="23"/>
  <c r="G88" i="23" s="1"/>
  <c r="H97" i="23"/>
  <c r="H88" i="23" s="1"/>
  <c r="F97" i="23"/>
  <c r="F88" i="23" s="1"/>
  <c r="C97" i="23"/>
  <c r="C88" i="23" s="1"/>
  <c r="B97" i="23"/>
  <c r="B88" i="23" s="1"/>
  <c r="A92" i="23"/>
  <c r="G93" i="23"/>
  <c r="G84" i="23" s="1"/>
  <c r="H93" i="23"/>
  <c r="H84" i="23" s="1"/>
  <c r="C93" i="23"/>
  <c r="C84" i="23" s="1"/>
  <c r="F93" i="23"/>
  <c r="F84" i="23" s="1"/>
  <c r="B93" i="23"/>
  <c r="B84" i="23" s="1"/>
  <c r="E93" i="23"/>
  <c r="E84" i="23" s="1"/>
  <c r="D93" i="23"/>
  <c r="D84" i="23" s="1"/>
  <c r="AA26" i="11"/>
  <c r="P63" i="24"/>
  <c r="I61" i="24"/>
  <c r="P61" i="24" s="1"/>
  <c r="D110" i="7"/>
  <c r="D101" i="7" s="1"/>
  <c r="F110" i="7"/>
  <c r="F101" i="7" s="1"/>
  <c r="C110" i="7"/>
  <c r="C101" i="7" s="1"/>
  <c r="H110" i="7"/>
  <c r="H101" i="7" s="1"/>
  <c r="E110" i="7"/>
  <c r="E101" i="7" s="1"/>
  <c r="B110" i="7"/>
  <c r="B101" i="7" s="1"/>
  <c r="A109" i="7"/>
  <c r="D109" i="7" s="1"/>
  <c r="D100" i="7" s="1"/>
  <c r="B84" i="9"/>
  <c r="N6" i="11" s="1"/>
  <c r="J6" i="11"/>
  <c r="B81" i="9"/>
  <c r="A99" i="9"/>
  <c r="G100" i="9"/>
  <c r="G91" i="9" s="1"/>
  <c r="H100" i="9"/>
  <c r="H91" i="9" s="1"/>
  <c r="E100" i="9"/>
  <c r="E91" i="9" s="1"/>
  <c r="C100" i="9"/>
  <c r="C91" i="9" s="1"/>
  <c r="B100" i="9"/>
  <c r="B91" i="9" s="1"/>
  <c r="D100" i="9"/>
  <c r="D91" i="9" s="1"/>
  <c r="F100" i="9"/>
  <c r="F91" i="9" s="1"/>
  <c r="A103" i="9"/>
  <c r="H102" i="9"/>
  <c r="H93" i="9" s="1"/>
  <c r="C102" i="9"/>
  <c r="C93" i="9" s="1"/>
  <c r="B102" i="9"/>
  <c r="B93" i="9" s="1"/>
  <c r="F102" i="9"/>
  <c r="F93" i="9" s="1"/>
  <c r="E102" i="9"/>
  <c r="E93" i="9" s="1"/>
  <c r="D102" i="9"/>
  <c r="D93" i="9" s="1"/>
  <c r="G102" i="9"/>
  <c r="G93" i="9" s="1"/>
  <c r="G101" i="12"/>
  <c r="G92" i="12" s="1"/>
  <c r="D101" i="12"/>
  <c r="D92" i="12" s="1"/>
  <c r="E101" i="12"/>
  <c r="E92" i="12" s="1"/>
  <c r="C101" i="12"/>
  <c r="C92" i="12" s="1"/>
  <c r="H101" i="12"/>
  <c r="H92" i="12" s="1"/>
  <c r="F101" i="12"/>
  <c r="F92" i="12" s="1"/>
  <c r="B101" i="12"/>
  <c r="B92" i="12" s="1"/>
  <c r="D95" i="12"/>
  <c r="D86" i="12" s="1"/>
  <c r="H95" i="12"/>
  <c r="H86" i="12" s="1"/>
  <c r="B95" i="12"/>
  <c r="B86" i="12" s="1"/>
  <c r="F95" i="12"/>
  <c r="F86" i="12" s="1"/>
  <c r="G95" i="12"/>
  <c r="G86" i="12" s="1"/>
  <c r="C95" i="12"/>
  <c r="C86" i="12" s="1"/>
  <c r="E95" i="12"/>
  <c r="E86" i="12" s="1"/>
  <c r="A114" i="7"/>
  <c r="H113" i="7"/>
  <c r="H104" i="7" s="1"/>
  <c r="B113" i="7"/>
  <c r="B104" i="7" s="1"/>
  <c r="C113" i="7"/>
  <c r="C104" i="7" s="1"/>
  <c r="D113" i="7"/>
  <c r="D104" i="7" s="1"/>
  <c r="G113" i="7"/>
  <c r="G104" i="7" s="1"/>
  <c r="E113" i="7"/>
  <c r="E104" i="7" s="1"/>
  <c r="F113" i="7"/>
  <c r="F104" i="7" s="1"/>
  <c r="P30" i="11"/>
  <c r="P32" i="11" s="1"/>
  <c r="G46" i="11"/>
  <c r="P46" i="11" s="1"/>
  <c r="G32" i="11"/>
  <c r="L44" i="26"/>
  <c r="Q44" i="26" s="1"/>
  <c r="D11" i="28" s="1"/>
  <c r="P130" i="24"/>
  <c r="L131" i="24"/>
  <c r="A95" i="18"/>
  <c r="A96" i="18" s="1"/>
  <c r="A97" i="18" s="1"/>
  <c r="A93" i="18"/>
  <c r="A92" i="18" s="1"/>
  <c r="A91" i="18" s="1"/>
  <c r="AA29" i="11"/>
  <c r="AA30" i="11"/>
  <c r="J46" i="11"/>
  <c r="C62" i="24"/>
  <c r="D62" i="24" s="1"/>
  <c r="E62" i="24" s="1"/>
  <c r="F62" i="24" s="1"/>
  <c r="G62" i="24" s="1"/>
  <c r="H62" i="24" s="1"/>
  <c r="A110" i="4"/>
  <c r="A104" i="4"/>
  <c r="AA27" i="11" l="1"/>
  <c r="AA32" i="11" s="1"/>
  <c r="AA43" i="11"/>
  <c r="J33" i="11"/>
  <c r="J32" i="11"/>
  <c r="O32" i="11" s="1"/>
  <c r="H78" i="13"/>
  <c r="O6" i="11"/>
  <c r="I62" i="24"/>
  <c r="J62" i="24" s="1"/>
  <c r="K62" i="24" s="1"/>
  <c r="L62" i="24" s="1"/>
  <c r="M62" i="24" s="1"/>
  <c r="N62" i="24" s="1"/>
  <c r="O62" i="24" s="1"/>
  <c r="B96" i="2"/>
  <c r="B87" i="2" s="1"/>
  <c r="G96" i="2"/>
  <c r="G87" i="2" s="1"/>
  <c r="H96" i="2"/>
  <c r="H87" i="2" s="1"/>
  <c r="D96" i="2"/>
  <c r="D87" i="2" s="1"/>
  <c r="C96" i="2"/>
  <c r="C87" i="2" s="1"/>
  <c r="E96" i="2"/>
  <c r="E87" i="2" s="1"/>
  <c r="F96" i="2"/>
  <c r="F87" i="2" s="1"/>
  <c r="G102" i="2"/>
  <c r="G93" i="2" s="1"/>
  <c r="B102" i="2"/>
  <c r="B93" i="2" s="1"/>
  <c r="H102" i="2"/>
  <c r="H93" i="2" s="1"/>
  <c r="F102" i="2"/>
  <c r="F93" i="2" s="1"/>
  <c r="C102" i="2"/>
  <c r="C93" i="2" s="1"/>
  <c r="E102" i="2"/>
  <c r="E93" i="2" s="1"/>
  <c r="D102" i="2"/>
  <c r="D93" i="2" s="1"/>
  <c r="H92" i="23"/>
  <c r="H83" i="23" s="1"/>
  <c r="G92" i="23"/>
  <c r="G83" i="23" s="1"/>
  <c r="F92" i="23"/>
  <c r="F83" i="23" s="1"/>
  <c r="D92" i="23"/>
  <c r="D83" i="23" s="1"/>
  <c r="B92" i="23"/>
  <c r="B83" i="23" s="1"/>
  <c r="E92" i="23"/>
  <c r="E83" i="23" s="1"/>
  <c r="C92" i="23"/>
  <c r="C83" i="23" s="1"/>
  <c r="E98" i="23"/>
  <c r="E89" i="23" s="1"/>
  <c r="H98" i="23"/>
  <c r="H89" i="23" s="1"/>
  <c r="C98" i="23"/>
  <c r="C89" i="23" s="1"/>
  <c r="B98" i="23"/>
  <c r="B89" i="23" s="1"/>
  <c r="F98" i="23"/>
  <c r="F89" i="23" s="1"/>
  <c r="D98" i="23"/>
  <c r="D89" i="23" s="1"/>
  <c r="G98" i="23"/>
  <c r="G89" i="23" s="1"/>
  <c r="F109" i="7"/>
  <c r="F100" i="7" s="1"/>
  <c r="E109" i="7"/>
  <c r="E100" i="7" s="1"/>
  <c r="H109" i="7"/>
  <c r="H100" i="7" s="1"/>
  <c r="C109" i="7"/>
  <c r="C100" i="7" s="1"/>
  <c r="B109" i="7"/>
  <c r="B100" i="7" s="1"/>
  <c r="G109" i="7"/>
  <c r="G100" i="7" s="1"/>
  <c r="A108" i="7"/>
  <c r="H108" i="7" s="1"/>
  <c r="H99" i="7" s="1"/>
  <c r="A104" i="9"/>
  <c r="E103" i="9"/>
  <c r="E94" i="9" s="1"/>
  <c r="G103" i="9"/>
  <c r="G94" i="9" s="1"/>
  <c r="D103" i="9"/>
  <c r="D94" i="9" s="1"/>
  <c r="C103" i="9"/>
  <c r="C94" i="9" s="1"/>
  <c r="H103" i="9"/>
  <c r="H94" i="9" s="1"/>
  <c r="F103" i="9"/>
  <c r="F94" i="9" s="1"/>
  <c r="B103" i="9"/>
  <c r="B94" i="9" s="1"/>
  <c r="A98" i="9"/>
  <c r="D99" i="9"/>
  <c r="D90" i="9" s="1"/>
  <c r="H99" i="9"/>
  <c r="H90" i="9" s="1"/>
  <c r="B99" i="9"/>
  <c r="B90" i="9" s="1"/>
  <c r="F99" i="9"/>
  <c r="F90" i="9" s="1"/>
  <c r="E99" i="9"/>
  <c r="E90" i="9" s="1"/>
  <c r="C99" i="9"/>
  <c r="C90" i="9" s="1"/>
  <c r="G99" i="9"/>
  <c r="G90" i="9" s="1"/>
  <c r="G114" i="7"/>
  <c r="G105" i="7" s="1"/>
  <c r="E114" i="7"/>
  <c r="E105" i="7" s="1"/>
  <c r="B114" i="7"/>
  <c r="B105" i="7" s="1"/>
  <c r="F114" i="7"/>
  <c r="F105" i="7" s="1"/>
  <c r="C114" i="7"/>
  <c r="C105" i="7" s="1"/>
  <c r="D114" i="7"/>
  <c r="D105" i="7" s="1"/>
  <c r="H114" i="7"/>
  <c r="H105" i="7" s="1"/>
  <c r="M131" i="24"/>
  <c r="N131" i="24" s="1"/>
  <c r="O131" i="24" s="1"/>
  <c r="AA46" i="11"/>
  <c r="O46" i="11"/>
  <c r="N46" i="11"/>
  <c r="O33" i="11" l="1"/>
  <c r="P62" i="24"/>
  <c r="E108" i="7"/>
  <c r="E99" i="7" s="1"/>
  <c r="D108" i="7"/>
  <c r="D99" i="7" s="1"/>
  <c r="B108" i="7"/>
  <c r="B99" i="7" s="1"/>
  <c r="F108" i="7"/>
  <c r="F99" i="7" s="1"/>
  <c r="C108" i="7"/>
  <c r="C99" i="7" s="1"/>
  <c r="G108" i="7"/>
  <c r="G99" i="7" s="1"/>
  <c r="F98" i="9"/>
  <c r="F89" i="9" s="1"/>
  <c r="C98" i="9"/>
  <c r="C89" i="9" s="1"/>
  <c r="H98" i="9"/>
  <c r="H89" i="9" s="1"/>
  <c r="E98" i="9"/>
  <c r="E89" i="9" s="1"/>
  <c r="D98" i="9"/>
  <c r="D89" i="9" s="1"/>
  <c r="B98" i="9"/>
  <c r="B89" i="9" s="1"/>
  <c r="G98" i="9"/>
  <c r="G89" i="9" s="1"/>
  <c r="E104" i="9"/>
  <c r="E95" i="9" s="1"/>
  <c r="J58" i="26" s="1"/>
  <c r="P58" i="26" s="1"/>
  <c r="G104" i="9"/>
  <c r="G95" i="9" s="1"/>
  <c r="C104" i="9"/>
  <c r="C95" i="9" s="1"/>
  <c r="D104" i="9"/>
  <c r="D95" i="9" s="1"/>
  <c r="B104" i="9"/>
  <c r="B95" i="9" s="1"/>
  <c r="F104" i="9"/>
  <c r="F95" i="9" s="1"/>
  <c r="H104" i="9"/>
  <c r="H95" i="9" s="1"/>
  <c r="P131" i="24"/>
  <c r="K11" i="12" l="1"/>
  <c r="E28" i="24"/>
  <c r="K8" i="12"/>
  <c r="F27" i="24"/>
  <c r="G48" i="12"/>
  <c r="G28" i="24"/>
  <c r="L31" i="24"/>
  <c r="M31" i="24"/>
  <c r="M151" i="24" s="1"/>
  <c r="M165" i="24" s="1"/>
  <c r="G31" i="24"/>
  <c r="G151" i="24" s="1"/>
  <c r="G165" i="24" s="1"/>
  <c r="O28" i="24"/>
  <c r="K28" i="24"/>
  <c r="M28" i="24"/>
  <c r="F28" i="24"/>
  <c r="M27" i="24"/>
  <c r="O32" i="24"/>
  <c r="P32" i="24" s="1"/>
  <c r="O31" i="24"/>
  <c r="O27" i="24"/>
  <c r="K15" i="12"/>
  <c r="H31" i="24"/>
  <c r="H151" i="24" s="1"/>
  <c r="H165" i="24" s="1"/>
  <c r="N28" i="24"/>
  <c r="I28" i="24"/>
  <c r="G51" i="12"/>
  <c r="I31" i="24"/>
  <c r="I151" i="24" s="1"/>
  <c r="I165" i="24" s="1"/>
  <c r="B7" i="11"/>
  <c r="J27" i="24"/>
  <c r="K17" i="12"/>
  <c r="J31" i="24"/>
  <c r="H27" i="24"/>
  <c r="F31" i="24"/>
  <c r="H28" i="24"/>
  <c r="E27" i="24"/>
  <c r="K7" i="12"/>
  <c r="D28" i="24"/>
  <c r="G27" i="24"/>
  <c r="K9" i="12"/>
  <c r="N27" i="24"/>
  <c r="K31" i="24"/>
  <c r="K10" i="12"/>
  <c r="K14" i="12"/>
  <c r="K27" i="24"/>
  <c r="I27" i="24"/>
  <c r="D27" i="24"/>
  <c r="K16" i="12"/>
  <c r="N31" i="24"/>
  <c r="N151" i="24" s="1"/>
  <c r="N165" i="24" s="1"/>
  <c r="K13" i="12"/>
  <c r="L28" i="24"/>
  <c r="K12" i="12"/>
  <c r="J29" i="24"/>
  <c r="P29" i="24" s="1"/>
  <c r="L27" i="24"/>
  <c r="J28" i="24"/>
  <c r="G18" i="12"/>
  <c r="G22" i="12"/>
  <c r="G45" i="12"/>
  <c r="G67" i="12"/>
  <c r="O30" i="24"/>
  <c r="P30" i="24" s="1"/>
  <c r="O24" i="24"/>
  <c r="E9" i="4"/>
  <c r="G53" i="9"/>
  <c r="E53" i="10"/>
  <c r="I13" i="24"/>
  <c r="B6" i="11"/>
  <c r="I33" i="9"/>
  <c r="I15" i="24" s="1"/>
  <c r="E18" i="24"/>
  <c r="E152" i="24" s="1"/>
  <c r="E166" i="24" s="1"/>
  <c r="C18" i="24"/>
  <c r="C152" i="24" s="1"/>
  <c r="C166" i="24" s="1"/>
  <c r="L14" i="24"/>
  <c r="D15" i="24"/>
  <c r="E13" i="24"/>
  <c r="C15" i="24"/>
  <c r="B18" i="24"/>
  <c r="K19" i="24"/>
  <c r="C14" i="24"/>
  <c r="B13" i="24"/>
  <c r="I18" i="24"/>
  <c r="K18" i="24"/>
  <c r="G55" i="9"/>
  <c r="D14" i="24"/>
  <c r="D13" i="24"/>
  <c r="I34" i="9"/>
  <c r="J15" i="24" s="1"/>
  <c r="J16" i="24"/>
  <c r="E14" i="24"/>
  <c r="B15" i="24"/>
  <c r="F14" i="24"/>
  <c r="J14" i="24"/>
  <c r="H14" i="24"/>
  <c r="C13" i="24"/>
  <c r="J18" i="24"/>
  <c r="K14" i="24"/>
  <c r="G13" i="24"/>
  <c r="D18" i="24"/>
  <c r="D152" i="24" s="1"/>
  <c r="D166" i="24" s="1"/>
  <c r="G18" i="24"/>
  <c r="B14" i="24"/>
  <c r="G14" i="24"/>
  <c r="H13" i="24"/>
  <c r="I14" i="24"/>
  <c r="H18" i="24"/>
  <c r="F18" i="24"/>
  <c r="F13" i="24"/>
  <c r="J17" i="24"/>
  <c r="G70" i="9"/>
  <c r="G50" i="9"/>
  <c r="I20" i="9"/>
  <c r="H36" i="9"/>
  <c r="I24" i="9"/>
  <c r="H24" i="9"/>
  <c r="G60" i="9"/>
  <c r="O10" i="24"/>
  <c r="J10" i="24"/>
  <c r="B42" i="11" l="1"/>
  <c r="R42" i="11" s="1"/>
  <c r="S42" i="11" s="1"/>
  <c r="R10" i="11"/>
  <c r="S10" i="11" s="1"/>
  <c r="G42" i="11"/>
  <c r="P42" i="11" s="1"/>
  <c r="P10" i="11"/>
  <c r="K25" i="24"/>
  <c r="K21" i="24" s="1"/>
  <c r="E25" i="24"/>
  <c r="E21" i="24" s="1"/>
  <c r="D25" i="24"/>
  <c r="D21" i="24" s="1"/>
  <c r="G25" i="24"/>
  <c r="G21" i="24" s="1"/>
  <c r="M25" i="24"/>
  <c r="P31" i="24"/>
  <c r="F151" i="24"/>
  <c r="F165" i="24" s="1"/>
  <c r="R7" i="11"/>
  <c r="S7" i="11" s="1"/>
  <c r="B39" i="11"/>
  <c r="I39" i="11" s="1"/>
  <c r="P7" i="11"/>
  <c r="AA7" i="11"/>
  <c r="N25" i="24"/>
  <c r="H25" i="24"/>
  <c r="F25" i="24"/>
  <c r="O23" i="24"/>
  <c r="P24" i="24"/>
  <c r="K18" i="12"/>
  <c r="P27" i="24"/>
  <c r="L25" i="24"/>
  <c r="L65" i="26" s="1"/>
  <c r="I25" i="24"/>
  <c r="P28" i="24"/>
  <c r="J25" i="24"/>
  <c r="O25" i="24"/>
  <c r="P13" i="24"/>
  <c r="B11" i="24"/>
  <c r="G63" i="7"/>
  <c r="I123" i="24"/>
  <c r="J123" i="24"/>
  <c r="G123" i="24"/>
  <c r="F122" i="24"/>
  <c r="M122" i="24"/>
  <c r="H124" i="24"/>
  <c r="B124" i="24"/>
  <c r="B149" i="24" s="1"/>
  <c r="B163" i="24" s="1"/>
  <c r="F63" i="7"/>
  <c r="H123" i="24"/>
  <c r="K124" i="24"/>
  <c r="K149" i="24" s="1"/>
  <c r="K163" i="24" s="1"/>
  <c r="G60" i="7"/>
  <c r="E123" i="24"/>
  <c r="J124" i="24"/>
  <c r="H122" i="24"/>
  <c r="L123" i="24"/>
  <c r="D124" i="24"/>
  <c r="D149" i="24" s="1"/>
  <c r="D163" i="24" s="1"/>
  <c r="L124" i="24"/>
  <c r="L149" i="24" s="1"/>
  <c r="L163" i="24" s="1"/>
  <c r="I122" i="24"/>
  <c r="K123" i="24"/>
  <c r="E122" i="24"/>
  <c r="O122" i="24"/>
  <c r="G56" i="7"/>
  <c r="D123" i="24"/>
  <c r="O124" i="24"/>
  <c r="O149" i="24" s="1"/>
  <c r="O163" i="24" s="1"/>
  <c r="L122" i="24"/>
  <c r="K122" i="24"/>
  <c r="D122" i="24"/>
  <c r="J122" i="24"/>
  <c r="H125" i="24"/>
  <c r="P125" i="24" s="1"/>
  <c r="M124" i="24"/>
  <c r="M149" i="24" s="1"/>
  <c r="M163" i="24" s="1"/>
  <c r="C123" i="24"/>
  <c r="E124" i="24"/>
  <c r="E149" i="24" s="1"/>
  <c r="E163" i="24" s="1"/>
  <c r="F123" i="24"/>
  <c r="G32" i="7"/>
  <c r="N122" i="24"/>
  <c r="N124" i="24"/>
  <c r="N149" i="24" s="1"/>
  <c r="N163" i="24" s="1"/>
  <c r="I35" i="7"/>
  <c r="G124" i="24"/>
  <c r="G149" i="24" s="1"/>
  <c r="G163" i="24" s="1"/>
  <c r="G122" i="24"/>
  <c r="C124" i="24"/>
  <c r="C149" i="24" s="1"/>
  <c r="C163" i="24" s="1"/>
  <c r="F124" i="24"/>
  <c r="F149" i="24" s="1"/>
  <c r="F163" i="24" s="1"/>
  <c r="G26" i="7"/>
  <c r="L53" i="10"/>
  <c r="G23" i="7"/>
  <c r="I124" i="24"/>
  <c r="K126" i="24"/>
  <c r="G77" i="7"/>
  <c r="L126" i="24"/>
  <c r="L151" i="24" s="1"/>
  <c r="L165" i="24" s="1"/>
  <c r="G53" i="7"/>
  <c r="G38" i="7"/>
  <c r="L128" i="24"/>
  <c r="G65" i="7"/>
  <c r="O119" i="24"/>
  <c r="K11" i="24"/>
  <c r="I11" i="24"/>
  <c r="F95" i="24"/>
  <c r="G57" i="8"/>
  <c r="B12" i="11"/>
  <c r="AF12" i="11" s="1"/>
  <c r="M94" i="24"/>
  <c r="M95" i="24"/>
  <c r="J94" i="24"/>
  <c r="O94" i="24"/>
  <c r="H94" i="24"/>
  <c r="N94" i="24"/>
  <c r="J95" i="24"/>
  <c r="L94" i="24"/>
  <c r="K95" i="24"/>
  <c r="N95" i="24"/>
  <c r="D94" i="24"/>
  <c r="D95" i="24"/>
  <c r="E95" i="24"/>
  <c r="L95" i="24"/>
  <c r="F94" i="24"/>
  <c r="G54" i="8"/>
  <c r="H95" i="24"/>
  <c r="O100" i="24"/>
  <c r="O95" i="24"/>
  <c r="I94" i="24"/>
  <c r="I95" i="24"/>
  <c r="K94" i="24"/>
  <c r="J96" i="24"/>
  <c r="P96" i="24" s="1"/>
  <c r="I33" i="8"/>
  <c r="I97" i="24" s="1"/>
  <c r="G31" i="8"/>
  <c r="I35" i="8"/>
  <c r="J97" i="24" s="1"/>
  <c r="G95" i="24"/>
  <c r="G94" i="24"/>
  <c r="G51" i="8"/>
  <c r="E94" i="24"/>
  <c r="G25" i="8"/>
  <c r="G36" i="8"/>
  <c r="G48" i="8"/>
  <c r="G21" i="8"/>
  <c r="G71" i="8"/>
  <c r="O98" i="24"/>
  <c r="G59" i="8"/>
  <c r="N91" i="24"/>
  <c r="E60" i="8"/>
  <c r="O91" i="24"/>
  <c r="O90" i="24" s="1"/>
  <c r="P16" i="24"/>
  <c r="D11" i="24"/>
  <c r="J11" i="24"/>
  <c r="E11" i="24"/>
  <c r="F59" i="10"/>
  <c r="F70" i="10"/>
  <c r="F65" i="10"/>
  <c r="F55" i="10"/>
  <c r="F61" i="10"/>
  <c r="F67" i="10"/>
  <c r="F57" i="10"/>
  <c r="F66" i="10"/>
  <c r="F56" i="10"/>
  <c r="F63" i="10"/>
  <c r="F58" i="10"/>
  <c r="F64" i="10"/>
  <c r="F69" i="10"/>
  <c r="F68" i="10"/>
  <c r="F60" i="10"/>
  <c r="F62" i="10"/>
  <c r="B80" i="10" s="1"/>
  <c r="P19" i="24"/>
  <c r="C11" i="24"/>
  <c r="P18" i="24"/>
  <c r="B152" i="24"/>
  <c r="B166" i="24" s="1"/>
  <c r="B38" i="11"/>
  <c r="C38" i="11" s="1"/>
  <c r="R6" i="11"/>
  <c r="P6" i="11"/>
  <c r="AA6" i="11"/>
  <c r="P10" i="24"/>
  <c r="J9" i="24"/>
  <c r="O9" i="24"/>
  <c r="H109" i="24"/>
  <c r="F113" i="24"/>
  <c r="F152" i="24" s="1"/>
  <c r="F166" i="24" s="1"/>
  <c r="D109" i="24"/>
  <c r="N113" i="24"/>
  <c r="N152" i="24" s="1"/>
  <c r="N166" i="24" s="1"/>
  <c r="F111" i="24"/>
  <c r="M113" i="24"/>
  <c r="M152" i="24" s="1"/>
  <c r="M166" i="24" s="1"/>
  <c r="G113" i="24"/>
  <c r="G152" i="24" s="1"/>
  <c r="G166" i="24" s="1"/>
  <c r="H110" i="24"/>
  <c r="I109" i="24"/>
  <c r="I111" i="24"/>
  <c r="H113" i="24"/>
  <c r="H152" i="24" s="1"/>
  <c r="H166" i="24" s="1"/>
  <c r="I34" i="6"/>
  <c r="H111" i="24" s="1"/>
  <c r="U107" i="24"/>
  <c r="J113" i="24"/>
  <c r="J152" i="24" s="1"/>
  <c r="J166" i="24" s="1"/>
  <c r="G111" i="24"/>
  <c r="L113" i="24"/>
  <c r="L152" i="24" s="1"/>
  <c r="L166" i="24" s="1"/>
  <c r="K113" i="24"/>
  <c r="K106" i="24" s="1"/>
  <c r="O113" i="24"/>
  <c r="O152" i="24" s="1"/>
  <c r="O166" i="24" s="1"/>
  <c r="M108" i="24"/>
  <c r="I113" i="24"/>
  <c r="I152" i="24" s="1"/>
  <c r="I166" i="24" s="1"/>
  <c r="L109" i="24"/>
  <c r="D108" i="24"/>
  <c r="O112" i="24"/>
  <c r="O114" i="24"/>
  <c r="P114" i="24" s="1"/>
  <c r="E79" i="6"/>
  <c r="N105" i="24"/>
  <c r="O105" i="24"/>
  <c r="O104" i="24" s="1"/>
  <c r="G11" i="24"/>
  <c r="E21" i="4"/>
  <c r="H81" i="4" s="1"/>
  <c r="H87" i="4" s="1"/>
  <c r="H11" i="24"/>
  <c r="P14" i="24"/>
  <c r="P17" i="24"/>
  <c r="F11" i="24"/>
  <c r="P15" i="24"/>
  <c r="L11" i="24"/>
  <c r="J87" i="4" l="1"/>
  <c r="I88" i="4" s="1"/>
  <c r="K65" i="26"/>
  <c r="K42" i="11"/>
  <c r="D42" i="11"/>
  <c r="C42" i="11"/>
  <c r="H150" i="24"/>
  <c r="H164" i="24" s="1"/>
  <c r="D65" i="26"/>
  <c r="B62" i="11"/>
  <c r="E62" i="11"/>
  <c r="G65" i="26"/>
  <c r="E65" i="26"/>
  <c r="P97" i="24"/>
  <c r="J39" i="11"/>
  <c r="C39" i="11"/>
  <c r="I65" i="26"/>
  <c r="I21" i="24"/>
  <c r="J21" i="24"/>
  <c r="J65" i="26"/>
  <c r="P23" i="24"/>
  <c r="O65" i="26"/>
  <c r="O21" i="24"/>
  <c r="G39" i="11"/>
  <c r="P39" i="11" s="1"/>
  <c r="D22" i="24"/>
  <c r="E22" i="24" s="1"/>
  <c r="F65" i="26"/>
  <c r="F21" i="24"/>
  <c r="F39" i="11"/>
  <c r="H21" i="24"/>
  <c r="H65" i="26"/>
  <c r="D39" i="11"/>
  <c r="R39" i="11"/>
  <c r="S39" i="11" s="1"/>
  <c r="N21" i="24"/>
  <c r="N22" i="24" s="1"/>
  <c r="N65" i="26"/>
  <c r="P25" i="24"/>
  <c r="K39" i="11"/>
  <c r="M65" i="26"/>
  <c r="M21" i="24"/>
  <c r="K152" i="24"/>
  <c r="K166" i="24" s="1"/>
  <c r="F92" i="24"/>
  <c r="F88" i="24" s="1"/>
  <c r="M92" i="24"/>
  <c r="M88" i="24" s="1"/>
  <c r="H120" i="24"/>
  <c r="H116" i="24" s="1"/>
  <c r="L92" i="24"/>
  <c r="L68" i="26" s="1"/>
  <c r="J120" i="24"/>
  <c r="J116" i="24" s="1"/>
  <c r="K92" i="24"/>
  <c r="K88" i="24" s="1"/>
  <c r="J38" i="11"/>
  <c r="G38" i="11"/>
  <c r="P38" i="11" s="1"/>
  <c r="F38" i="11"/>
  <c r="I38" i="11"/>
  <c r="N92" i="24"/>
  <c r="D38" i="11"/>
  <c r="H92" i="24"/>
  <c r="H68" i="26" s="1"/>
  <c r="D92" i="24"/>
  <c r="D68" i="26" s="1"/>
  <c r="I120" i="24"/>
  <c r="I116" i="24" s="1"/>
  <c r="F120" i="24"/>
  <c r="L153" i="24"/>
  <c r="L167" i="24" s="1"/>
  <c r="P128" i="24"/>
  <c r="M61" i="10"/>
  <c r="M64" i="10"/>
  <c r="M57" i="10"/>
  <c r="M65" i="10"/>
  <c r="M63" i="10"/>
  <c r="M60" i="10"/>
  <c r="M68" i="10"/>
  <c r="M59" i="10"/>
  <c r="M58" i="10"/>
  <c r="M67" i="10"/>
  <c r="M56" i="10"/>
  <c r="M62" i="10"/>
  <c r="M66" i="10"/>
  <c r="M55" i="10"/>
  <c r="N120" i="24"/>
  <c r="G7" i="24"/>
  <c r="G62" i="26"/>
  <c r="M106" i="24"/>
  <c r="L120" i="24"/>
  <c r="E120" i="24"/>
  <c r="I7" i="24"/>
  <c r="I62" i="26"/>
  <c r="P94" i="24"/>
  <c r="E92" i="24"/>
  <c r="F62" i="26"/>
  <c r="F7" i="24"/>
  <c r="N104" i="24"/>
  <c r="P105" i="24"/>
  <c r="N107" i="24"/>
  <c r="N106" i="24" s="1"/>
  <c r="B107" i="24"/>
  <c r="B47" i="11"/>
  <c r="G47" i="11" s="1"/>
  <c r="P47" i="11" s="1"/>
  <c r="L107" i="24"/>
  <c r="L106" i="24" s="1"/>
  <c r="J107" i="24"/>
  <c r="J106" i="24" s="1"/>
  <c r="P109" i="24"/>
  <c r="P9" i="24"/>
  <c r="J62" i="26"/>
  <c r="J7" i="24"/>
  <c r="R38" i="11"/>
  <c r="P98" i="24"/>
  <c r="O151" i="24"/>
  <c r="O165" i="24" s="1"/>
  <c r="G92" i="24"/>
  <c r="I92" i="24"/>
  <c r="O92" i="24"/>
  <c r="K62" i="26"/>
  <c r="K7" i="24"/>
  <c r="B88" i="4"/>
  <c r="E62" i="4"/>
  <c r="F21" i="4" s="1"/>
  <c r="O7" i="24"/>
  <c r="O62" i="26"/>
  <c r="B44" i="11"/>
  <c r="R44" i="11" s="1"/>
  <c r="S44" i="11" s="1"/>
  <c r="R12" i="11"/>
  <c r="S12" i="11" s="1"/>
  <c r="P12" i="11"/>
  <c r="AA12" i="11"/>
  <c r="K71" i="26"/>
  <c r="K102" i="24"/>
  <c r="I150" i="24"/>
  <c r="I164" i="24" s="1"/>
  <c r="P113" i="24"/>
  <c r="P152" i="24" s="1"/>
  <c r="D7" i="24"/>
  <c r="D62" i="26"/>
  <c r="P95" i="24"/>
  <c r="J63" i="10"/>
  <c r="J58" i="10"/>
  <c r="J59" i="10"/>
  <c r="J61" i="10"/>
  <c r="J56" i="10"/>
  <c r="J64" i="10"/>
  <c r="J62" i="10"/>
  <c r="J55" i="10"/>
  <c r="J66" i="10"/>
  <c r="J65" i="10"/>
  <c r="J60" i="10"/>
  <c r="J57" i="10"/>
  <c r="J67" i="10"/>
  <c r="K120" i="24"/>
  <c r="K151" i="24"/>
  <c r="K165" i="24" s="1"/>
  <c r="P126" i="24"/>
  <c r="G120" i="24"/>
  <c r="P123" i="24"/>
  <c r="C120" i="24"/>
  <c r="B120" i="24"/>
  <c r="P124" i="24"/>
  <c r="P108" i="24"/>
  <c r="D106" i="24"/>
  <c r="C62" i="26"/>
  <c r="C7" i="24"/>
  <c r="D120" i="24"/>
  <c r="P122" i="24"/>
  <c r="N158" i="24"/>
  <c r="N157" i="24" s="1"/>
  <c r="N90" i="24"/>
  <c r="P91" i="24"/>
  <c r="L7" i="24"/>
  <c r="L62" i="26"/>
  <c r="H7" i="24"/>
  <c r="H62" i="26"/>
  <c r="I106" i="24"/>
  <c r="E62" i="26"/>
  <c r="E7" i="24"/>
  <c r="P100" i="24"/>
  <c r="O153" i="24"/>
  <c r="O167" i="24" s="1"/>
  <c r="J92" i="24"/>
  <c r="P119" i="24"/>
  <c r="O118" i="24"/>
  <c r="B7" i="24"/>
  <c r="B62" i="26"/>
  <c r="F150" i="24"/>
  <c r="F164" i="24" s="1"/>
  <c r="F106" i="24"/>
  <c r="P111" i="24"/>
  <c r="S6" i="11"/>
  <c r="H106" i="24"/>
  <c r="P112" i="24"/>
  <c r="O106" i="24"/>
  <c r="O71" i="26" s="1"/>
  <c r="G150" i="24"/>
  <c r="G164" i="24" s="1"/>
  <c r="G106" i="24"/>
  <c r="P110" i="24"/>
  <c r="H149" i="24"/>
  <c r="H163" i="24" s="1"/>
  <c r="K38" i="11"/>
  <c r="P11" i="24"/>
  <c r="O120" i="24"/>
  <c r="R14" i="11"/>
  <c r="S14" i="11" s="1"/>
  <c r="B45" i="11"/>
  <c r="R45" i="11" s="1"/>
  <c r="P14" i="11"/>
  <c r="AA14" i="11"/>
  <c r="M120" i="24"/>
  <c r="H88" i="4" l="1"/>
  <c r="L88" i="24"/>
  <c r="F68" i="26"/>
  <c r="P21" i="24"/>
  <c r="Q65" i="26"/>
  <c r="D13" i="28" s="1"/>
  <c r="AA39" i="11"/>
  <c r="K68" i="26"/>
  <c r="I45" i="11"/>
  <c r="M68" i="26"/>
  <c r="O22" i="24"/>
  <c r="F22" i="24"/>
  <c r="G22" i="24" s="1"/>
  <c r="H22" i="24" s="1"/>
  <c r="I22" i="24" s="1"/>
  <c r="J22" i="24" s="1"/>
  <c r="K22" i="24" s="1"/>
  <c r="D45" i="11"/>
  <c r="C45" i="11"/>
  <c r="J45" i="11"/>
  <c r="H88" i="24"/>
  <c r="F45" i="11"/>
  <c r="H74" i="26"/>
  <c r="J74" i="26"/>
  <c r="D88" i="24"/>
  <c r="D89" i="24" s="1"/>
  <c r="I74" i="26"/>
  <c r="K45" i="11"/>
  <c r="AA38" i="11"/>
  <c r="G45" i="11"/>
  <c r="P45" i="11" s="1"/>
  <c r="O38" i="11"/>
  <c r="F116" i="24"/>
  <c r="F74" i="26"/>
  <c r="M116" i="24"/>
  <c r="M74" i="26"/>
  <c r="G71" i="26"/>
  <c r="G102" i="24"/>
  <c r="B8" i="24"/>
  <c r="C8" i="24" s="1"/>
  <c r="D8" i="24" s="1"/>
  <c r="E8" i="24" s="1"/>
  <c r="F8" i="24" s="1"/>
  <c r="G8" i="24" s="1"/>
  <c r="H8" i="24" s="1"/>
  <c r="I8" i="24" s="1"/>
  <c r="J8" i="24" s="1"/>
  <c r="K8" i="24" s="1"/>
  <c r="L8" i="24" s="1"/>
  <c r="M8" i="24" s="1"/>
  <c r="N8" i="24" s="1"/>
  <c r="O8" i="24" s="1"/>
  <c r="P7" i="24"/>
  <c r="F44" i="11"/>
  <c r="P92" i="24"/>
  <c r="S38" i="11"/>
  <c r="S48" i="11" s="1"/>
  <c r="R48" i="11"/>
  <c r="E74" i="26"/>
  <c r="E116" i="24"/>
  <c r="D47" i="11"/>
  <c r="R47" i="11"/>
  <c r="S47" i="11" s="1"/>
  <c r="Q62" i="26"/>
  <c r="D12" i="28" s="1"/>
  <c r="C74" i="26"/>
  <c r="C116" i="24"/>
  <c r="I44" i="11"/>
  <c r="B106" i="24"/>
  <c r="P106" i="24" s="1"/>
  <c r="P107" i="24"/>
  <c r="N38" i="11"/>
  <c r="G116" i="24"/>
  <c r="G74" i="26"/>
  <c r="K44" i="11"/>
  <c r="I68" i="26"/>
  <c r="I88" i="24"/>
  <c r="F47" i="11"/>
  <c r="N74" i="26"/>
  <c r="N116" i="24"/>
  <c r="D44" i="11"/>
  <c r="G68" i="26"/>
  <c r="G88" i="24"/>
  <c r="K47" i="11"/>
  <c r="M71" i="26"/>
  <c r="M102" i="24"/>
  <c r="H102" i="24"/>
  <c r="H71" i="26"/>
  <c r="D116" i="24"/>
  <c r="D74" i="26"/>
  <c r="O68" i="26"/>
  <c r="D71" i="26"/>
  <c r="D102" i="24"/>
  <c r="C47" i="11"/>
  <c r="F102" i="24"/>
  <c r="F71" i="26"/>
  <c r="I102" i="24"/>
  <c r="I71" i="26"/>
  <c r="K116" i="24"/>
  <c r="K74" i="26"/>
  <c r="J44" i="11"/>
  <c r="B87" i="4"/>
  <c r="I8" i="11" s="1"/>
  <c r="C91" i="4"/>
  <c r="B90" i="4"/>
  <c r="C90" i="4" s="1"/>
  <c r="F57" i="4"/>
  <c r="F25" i="4"/>
  <c r="F30" i="4"/>
  <c r="B83" i="4"/>
  <c r="F36" i="4"/>
  <c r="F27" i="4"/>
  <c r="F51" i="4"/>
  <c r="B82" i="4"/>
  <c r="H8" i="11" s="1"/>
  <c r="F54" i="4"/>
  <c r="J71" i="26"/>
  <c r="J102" i="24"/>
  <c r="E88" i="24"/>
  <c r="E68" i="26"/>
  <c r="L74" i="26"/>
  <c r="L116" i="24"/>
  <c r="O102" i="24"/>
  <c r="O88" i="24"/>
  <c r="B74" i="26"/>
  <c r="B116" i="24"/>
  <c r="B117" i="24" s="1"/>
  <c r="P120" i="24"/>
  <c r="J88" i="24"/>
  <c r="J68" i="26"/>
  <c r="O74" i="26"/>
  <c r="P118" i="24"/>
  <c r="O116" i="24"/>
  <c r="N102" i="24"/>
  <c r="N71" i="26"/>
  <c r="P104" i="24"/>
  <c r="I47" i="11"/>
  <c r="P90" i="24"/>
  <c r="N68" i="26"/>
  <c r="N88" i="24"/>
  <c r="G44" i="11"/>
  <c r="P44" i="11" s="1"/>
  <c r="C44" i="11"/>
  <c r="D81" i="2"/>
  <c r="E86" i="4"/>
  <c r="K8" i="11"/>
  <c r="D83" i="3"/>
  <c r="J47" i="11"/>
  <c r="L102" i="24"/>
  <c r="L71" i="26"/>
  <c r="N45" i="11" l="1"/>
  <c r="E89" i="24"/>
  <c r="F89" i="24" s="1"/>
  <c r="G89" i="24" s="1"/>
  <c r="H89" i="24" s="1"/>
  <c r="I89" i="24" s="1"/>
  <c r="J89" i="24" s="1"/>
  <c r="K89" i="24" s="1"/>
  <c r="L89" i="24" s="1"/>
  <c r="M89" i="24" s="1"/>
  <c r="N89" i="24" s="1"/>
  <c r="O89" i="24" s="1"/>
  <c r="AA45" i="11"/>
  <c r="O45" i="11"/>
  <c r="Q68" i="26"/>
  <c r="D14" i="28" s="1"/>
  <c r="Q74" i="26"/>
  <c r="D16" i="28" s="1"/>
  <c r="E107" i="4"/>
  <c r="E98" i="4" s="1"/>
  <c r="C107" i="4"/>
  <c r="C98" i="4" s="1"/>
  <c r="F107" i="4"/>
  <c r="F98" i="4" s="1"/>
  <c r="B107" i="4"/>
  <c r="B98" i="4" s="1"/>
  <c r="D107" i="4"/>
  <c r="D98" i="4" s="1"/>
  <c r="G107" i="4"/>
  <c r="G98" i="4" s="1"/>
  <c r="H107" i="4"/>
  <c r="H98" i="4" s="1"/>
  <c r="G106" i="4"/>
  <c r="G97" i="4" s="1"/>
  <c r="E108" i="4"/>
  <c r="E99" i="4" s="1"/>
  <c r="B108" i="4"/>
  <c r="B99" i="4" s="1"/>
  <c r="C106" i="4"/>
  <c r="C97" i="4" s="1"/>
  <c r="H108" i="4"/>
  <c r="H99" i="4" s="1"/>
  <c r="B106" i="4"/>
  <c r="B97" i="4" s="1"/>
  <c r="G108" i="4"/>
  <c r="G99" i="4" s="1"/>
  <c r="D106" i="4"/>
  <c r="D97" i="4" s="1"/>
  <c r="H106" i="4"/>
  <c r="H97" i="4" s="1"/>
  <c r="D108" i="4"/>
  <c r="D99" i="4" s="1"/>
  <c r="F108" i="4"/>
  <c r="F99" i="4" s="1"/>
  <c r="C108" i="4"/>
  <c r="C99" i="4" s="1"/>
  <c r="E106" i="4"/>
  <c r="E97" i="4" s="1"/>
  <c r="F106" i="4"/>
  <c r="F97" i="4" s="1"/>
  <c r="G109" i="4"/>
  <c r="G100" i="4" s="1"/>
  <c r="D109" i="4"/>
  <c r="D100" i="4" s="1"/>
  <c r="E105" i="4"/>
  <c r="E96" i="4" s="1"/>
  <c r="B105" i="4"/>
  <c r="B96" i="4" s="1"/>
  <c r="H105" i="4"/>
  <c r="H96" i="4" s="1"/>
  <c r="B109" i="4"/>
  <c r="B100" i="4" s="1"/>
  <c r="F105" i="4"/>
  <c r="F96" i="4" s="1"/>
  <c r="C109" i="4"/>
  <c r="C100" i="4" s="1"/>
  <c r="D105" i="4"/>
  <c r="D96" i="4" s="1"/>
  <c r="F109" i="4"/>
  <c r="F100" i="4" s="1"/>
  <c r="C105" i="4"/>
  <c r="C96" i="4" s="1"/>
  <c r="G105" i="4"/>
  <c r="G96" i="4" s="1"/>
  <c r="H109" i="4"/>
  <c r="H100" i="4" s="1"/>
  <c r="E109" i="4"/>
  <c r="E100" i="4" s="1"/>
  <c r="H110" i="4"/>
  <c r="H101" i="4" s="1"/>
  <c r="B110" i="4"/>
  <c r="B101" i="4" s="1"/>
  <c r="E104" i="4"/>
  <c r="E95" i="4" s="1"/>
  <c r="E110" i="4"/>
  <c r="E101" i="4" s="1"/>
  <c r="F104" i="4"/>
  <c r="F95" i="4" s="1"/>
  <c r="H104" i="4"/>
  <c r="H95" i="4" s="1"/>
  <c r="C110" i="4"/>
  <c r="C101" i="4" s="1"/>
  <c r="F110" i="4"/>
  <c r="F101" i="4" s="1"/>
  <c r="D110" i="4"/>
  <c r="D101" i="4" s="1"/>
  <c r="C104" i="4"/>
  <c r="C95" i="4" s="1"/>
  <c r="G110" i="4"/>
  <c r="G101" i="4" s="1"/>
  <c r="B104" i="4"/>
  <c r="B95" i="4" s="1"/>
  <c r="D104" i="4"/>
  <c r="D95" i="4" s="1"/>
  <c r="G104" i="4"/>
  <c r="G95" i="4" s="1"/>
  <c r="B102" i="24"/>
  <c r="B71" i="26"/>
  <c r="Q71" i="26" s="1"/>
  <c r="D15" i="28" s="1"/>
  <c r="O44" i="11"/>
  <c r="AA44" i="11"/>
  <c r="N44" i="11"/>
  <c r="O47" i="11"/>
  <c r="AA47" i="11"/>
  <c r="N47" i="11"/>
  <c r="G8" i="11"/>
  <c r="B85" i="4"/>
  <c r="D76" i="2"/>
  <c r="D78" i="2" s="1"/>
  <c r="E81" i="4"/>
  <c r="E83" i="4" s="1"/>
  <c r="D78" i="3"/>
  <c r="P88" i="24"/>
  <c r="P116" i="24"/>
  <c r="C117" i="24"/>
  <c r="D117" i="24" s="1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l="1"/>
  <c r="E87" i="4"/>
  <c r="AD8" i="11" s="1"/>
  <c r="E84" i="4"/>
  <c r="B103" i="24"/>
  <c r="C103" i="24" s="1"/>
  <c r="D103" i="24" s="1"/>
  <c r="E103" i="24" s="1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P102" i="24"/>
  <c r="D82" i="2"/>
  <c r="D79" i="2"/>
  <c r="AC8" i="11" s="1"/>
  <c r="AC11" i="11"/>
  <c r="B86" i="4"/>
  <c r="J8" i="11"/>
  <c r="B89" i="4"/>
  <c r="N8" i="11" s="1"/>
  <c r="L8" i="11"/>
  <c r="M8" i="11" s="1"/>
  <c r="P89" i="24"/>
  <c r="O8" i="11" l="1"/>
  <c r="E59" i="3"/>
  <c r="E60" i="3" s="1"/>
  <c r="F60" i="3" s="1"/>
  <c r="F69" i="3" s="1"/>
  <c r="E72" i="3" l="1"/>
  <c r="E73" i="3" s="1"/>
  <c r="B77" i="3" s="1"/>
  <c r="F72" i="3" l="1"/>
  <c r="B82" i="3"/>
  <c r="I10" i="11" s="1"/>
  <c r="I42" i="11" s="1"/>
  <c r="A102" i="3"/>
  <c r="A93" i="3"/>
  <c r="B79" i="3"/>
  <c r="B80" i="3" l="1"/>
  <c r="F10" i="11"/>
  <c r="D79" i="3"/>
  <c r="D80" i="3" s="1"/>
  <c r="A92" i="3"/>
  <c r="A91" i="3" s="1"/>
  <c r="A90" i="3" s="1"/>
  <c r="A94" i="3"/>
  <c r="A95" i="3" s="1"/>
  <c r="A96" i="3" s="1"/>
  <c r="G102" i="3"/>
  <c r="G93" i="3" s="1"/>
  <c r="A103" i="3"/>
  <c r="H102" i="3"/>
  <c r="H93" i="3" s="1"/>
  <c r="A101" i="3"/>
  <c r="D102" i="3"/>
  <c r="D93" i="3" s="1"/>
  <c r="E102" i="3"/>
  <c r="E93" i="3" s="1"/>
  <c r="B102" i="3"/>
  <c r="B93" i="3" s="1"/>
  <c r="F102" i="3"/>
  <c r="F93" i="3" s="1"/>
  <c r="C102" i="3"/>
  <c r="C93" i="3" s="1"/>
  <c r="B103" i="3" l="1"/>
  <c r="B94" i="3" s="1"/>
  <c r="C103" i="3"/>
  <c r="C94" i="3" s="1"/>
  <c r="H103" i="3"/>
  <c r="H94" i="3" s="1"/>
  <c r="F103" i="3"/>
  <c r="F94" i="3" s="1"/>
  <c r="A104" i="3"/>
  <c r="E103" i="3"/>
  <c r="E94" i="3" s="1"/>
  <c r="G103" i="3"/>
  <c r="G94" i="3" s="1"/>
  <c r="D103" i="3"/>
  <c r="D94" i="3" s="1"/>
  <c r="D81" i="3"/>
  <c r="AC10" i="11" s="1"/>
  <c r="D84" i="3"/>
  <c r="J10" i="11"/>
  <c r="F42" i="11"/>
  <c r="A100" i="3"/>
  <c r="F101" i="3"/>
  <c r="F92" i="3" s="1"/>
  <c r="E101" i="3"/>
  <c r="E92" i="3" s="1"/>
  <c r="G101" i="3"/>
  <c r="G92" i="3" s="1"/>
  <c r="C101" i="3"/>
  <c r="C92" i="3" s="1"/>
  <c r="B101" i="3"/>
  <c r="B92" i="3" s="1"/>
  <c r="H101" i="3"/>
  <c r="H92" i="3" s="1"/>
  <c r="D101" i="3"/>
  <c r="D92" i="3" s="1"/>
  <c r="B84" i="3"/>
  <c r="N10" i="11" s="1"/>
  <c r="B81" i="3"/>
  <c r="O10" i="11" s="1"/>
  <c r="E104" i="3" l="1"/>
  <c r="E95" i="3" s="1"/>
  <c r="C104" i="3"/>
  <c r="C95" i="3" s="1"/>
  <c r="A105" i="3"/>
  <c r="H104" i="3"/>
  <c r="H95" i="3" s="1"/>
  <c r="D104" i="3"/>
  <c r="D95" i="3" s="1"/>
  <c r="F104" i="3"/>
  <c r="F95" i="3" s="1"/>
  <c r="G104" i="3"/>
  <c r="G95" i="3" s="1"/>
  <c r="B104" i="3"/>
  <c r="B95" i="3" s="1"/>
  <c r="J42" i="11"/>
  <c r="AA10" i="11"/>
  <c r="A99" i="3"/>
  <c r="H100" i="3"/>
  <c r="H91" i="3" s="1"/>
  <c r="E100" i="3"/>
  <c r="E91" i="3" s="1"/>
  <c r="B100" i="3"/>
  <c r="B91" i="3" s="1"/>
  <c r="C100" i="3"/>
  <c r="C91" i="3" s="1"/>
  <c r="D100" i="3"/>
  <c r="D91" i="3" s="1"/>
  <c r="G100" i="3"/>
  <c r="G91" i="3" s="1"/>
  <c r="F100" i="3"/>
  <c r="F91" i="3" s="1"/>
  <c r="D99" i="3" l="1"/>
  <c r="D90" i="3" s="1"/>
  <c r="F99" i="3"/>
  <c r="F90" i="3" s="1"/>
  <c r="H99" i="3"/>
  <c r="H90" i="3" s="1"/>
  <c r="C99" i="3"/>
  <c r="C90" i="3" s="1"/>
  <c r="E99" i="3"/>
  <c r="E90" i="3" s="1"/>
  <c r="G99" i="3"/>
  <c r="G90" i="3" s="1"/>
  <c r="B99" i="3"/>
  <c r="B90" i="3" s="1"/>
  <c r="H105" i="3"/>
  <c r="H96" i="3" s="1"/>
  <c r="B105" i="3"/>
  <c r="B96" i="3" s="1"/>
  <c r="C105" i="3"/>
  <c r="C96" i="3" s="1"/>
  <c r="G105" i="3"/>
  <c r="G96" i="3" s="1"/>
  <c r="E105" i="3"/>
  <c r="E96" i="3" s="1"/>
  <c r="D105" i="3"/>
  <c r="D96" i="3" s="1"/>
  <c r="F105" i="3"/>
  <c r="F96" i="3" s="1"/>
  <c r="O42" i="11"/>
  <c r="AA42" i="11"/>
  <c r="N42" i="11"/>
  <c r="B3" i="2" l="1"/>
  <c r="G40" i="24"/>
  <c r="H40" i="24"/>
  <c r="K41" i="24"/>
  <c r="F41" i="24"/>
  <c r="I41" i="24"/>
  <c r="C41" i="24"/>
  <c r="C148" i="24" s="1"/>
  <c r="C162" i="24" s="1"/>
  <c r="M40" i="24"/>
  <c r="H51" i="4"/>
  <c r="J43" i="24"/>
  <c r="J44" i="24"/>
  <c r="H36" i="4"/>
  <c r="I40" i="24"/>
  <c r="H33" i="4"/>
  <c r="I42" i="24" s="1"/>
  <c r="F40" i="24"/>
  <c r="B8" i="11"/>
  <c r="L40" i="24"/>
  <c r="G41" i="24"/>
  <c r="L41" i="24"/>
  <c r="H24" i="4"/>
  <c r="D40" i="24"/>
  <c r="H54" i="4"/>
  <c r="C40" i="24"/>
  <c r="J41" i="24"/>
  <c r="J40" i="24"/>
  <c r="B53" i="10"/>
  <c r="B41" i="24"/>
  <c r="E40" i="24"/>
  <c r="D41" i="24"/>
  <c r="K46" i="24"/>
  <c r="H57" i="4"/>
  <c r="H30" i="4"/>
  <c r="L37" i="24"/>
  <c r="H60" i="4"/>
  <c r="K40" i="24"/>
  <c r="E41" i="24"/>
  <c r="H41" i="24"/>
  <c r="K37" i="24"/>
  <c r="H34" i="4"/>
  <c r="J42" i="24" s="1"/>
  <c r="J37" i="24"/>
  <c r="B40" i="24"/>
  <c r="H21" i="4"/>
  <c r="F62" i="4"/>
  <c r="M38" i="24" l="1"/>
  <c r="C147" i="24"/>
  <c r="C161" i="24" s="1"/>
  <c r="C159" i="24" s="1"/>
  <c r="C155" i="24" s="1"/>
  <c r="C38" i="24"/>
  <c r="F38" i="24"/>
  <c r="K36" i="24"/>
  <c r="K158" i="24"/>
  <c r="K157" i="24" s="1"/>
  <c r="E38" i="24"/>
  <c r="J36" i="24"/>
  <c r="J158" i="24"/>
  <c r="J157" i="24" s="1"/>
  <c r="P37" i="24"/>
  <c r="K38" i="24"/>
  <c r="H38" i="24"/>
  <c r="AF8" i="11"/>
  <c r="L53" i="24"/>
  <c r="B40" i="11"/>
  <c r="I40" i="11" s="1"/>
  <c r="J53" i="24"/>
  <c r="N53" i="24"/>
  <c r="E61" i="11"/>
  <c r="B61" i="11"/>
  <c r="R8" i="11"/>
  <c r="B16" i="11"/>
  <c r="P8" i="11"/>
  <c r="AA8" i="11"/>
  <c r="I38" i="24"/>
  <c r="B148" i="24"/>
  <c r="B162" i="24" s="1"/>
  <c r="P41" i="24"/>
  <c r="J151" i="24"/>
  <c r="J165" i="24" s="1"/>
  <c r="P44" i="24"/>
  <c r="P151" i="24" s="1"/>
  <c r="C56" i="10"/>
  <c r="B73" i="10" s="1"/>
  <c r="C61" i="10"/>
  <c r="B78" i="10" s="1"/>
  <c r="C67" i="10"/>
  <c r="B83" i="10" s="1"/>
  <c r="C59" i="10"/>
  <c r="B76" i="10" s="1"/>
  <c r="C57" i="10"/>
  <c r="B74" i="10" s="1"/>
  <c r="C65" i="10"/>
  <c r="B81" i="10" s="1"/>
  <c r="C62" i="10"/>
  <c r="B79" i="10" s="1"/>
  <c r="C64" i="10"/>
  <c r="C68" i="10"/>
  <c r="B84" i="10" s="1"/>
  <c r="C71" i="10"/>
  <c r="C70" i="10"/>
  <c r="C55" i="10" s="1"/>
  <c r="C66" i="10"/>
  <c r="B82" i="10" s="1"/>
  <c r="C63" i="10"/>
  <c r="C69" i="10"/>
  <c r="B85" i="10" s="1"/>
  <c r="C60" i="10"/>
  <c r="B77" i="10" s="1"/>
  <c r="C58" i="10"/>
  <c r="B75" i="10" s="1"/>
  <c r="P43" i="24"/>
  <c r="J150" i="24"/>
  <c r="J164" i="24" s="1"/>
  <c r="G38" i="24"/>
  <c r="P46" i="24"/>
  <c r="K153" i="24"/>
  <c r="K167" i="24" s="1"/>
  <c r="P42" i="24"/>
  <c r="I149" i="24"/>
  <c r="I163" i="24" s="1"/>
  <c r="D38" i="24"/>
  <c r="B38" i="24"/>
  <c r="P40" i="24"/>
  <c r="B147" i="24"/>
  <c r="B161" i="24" s="1"/>
  <c r="L36" i="24"/>
  <c r="L158" i="24"/>
  <c r="L157" i="24" s="1"/>
  <c r="J38" i="24"/>
  <c r="L38" i="24"/>
  <c r="B9" i="11"/>
  <c r="J17" i="11" s="1"/>
  <c r="M54" i="24"/>
  <c r="G22" i="2"/>
  <c r="N54" i="24"/>
  <c r="N147" i="24" s="1"/>
  <c r="N161" i="24" s="1"/>
  <c r="G49" i="2"/>
  <c r="O51" i="24"/>
  <c r="G55" i="24"/>
  <c r="G148" i="24" s="1"/>
  <c r="G162" i="24" s="1"/>
  <c r="H54" i="24"/>
  <c r="H147" i="24" s="1"/>
  <c r="H161" i="24" s="1"/>
  <c r="E54" i="24"/>
  <c r="E147" i="24" s="1"/>
  <c r="E161" i="24" s="1"/>
  <c r="D55" i="24"/>
  <c r="G46" i="2"/>
  <c r="F55" i="24"/>
  <c r="F148" i="24" s="1"/>
  <c r="F162" i="24" s="1"/>
  <c r="O57" i="24"/>
  <c r="J55" i="24"/>
  <c r="J148" i="24" s="1"/>
  <c r="J162" i="24" s="1"/>
  <c r="L55" i="24"/>
  <c r="L148" i="24" s="1"/>
  <c r="L162" i="24" s="1"/>
  <c r="J56" i="24"/>
  <c r="P56" i="24" s="1"/>
  <c r="M55" i="24"/>
  <c r="M148" i="24" s="1"/>
  <c r="M162" i="24" s="1"/>
  <c r="I54" i="24"/>
  <c r="I147" i="24" s="1"/>
  <c r="I161" i="24" s="1"/>
  <c r="G52" i="2"/>
  <c r="H55" i="24"/>
  <c r="H148" i="24" s="1"/>
  <c r="H162" i="24" s="1"/>
  <c r="L54" i="24"/>
  <c r="L147" i="24" s="1"/>
  <c r="L161" i="24" s="1"/>
  <c r="G18" i="2"/>
  <c r="N55" i="24"/>
  <c r="N148" i="24" s="1"/>
  <c r="N162" i="24" s="1"/>
  <c r="K54" i="24"/>
  <c r="K147" i="24" s="1"/>
  <c r="K161" i="24" s="1"/>
  <c r="F54" i="24"/>
  <c r="F147" i="24" s="1"/>
  <c r="F161" i="24" s="1"/>
  <c r="O54" i="24"/>
  <c r="K55" i="24"/>
  <c r="K148" i="24" s="1"/>
  <c r="K162" i="24" s="1"/>
  <c r="O55" i="24"/>
  <c r="O148" i="24" s="1"/>
  <c r="O162" i="24" s="1"/>
  <c r="O59" i="24"/>
  <c r="P59" i="24" s="1"/>
  <c r="D81" i="24"/>
  <c r="E55" i="24"/>
  <c r="E148" i="24" s="1"/>
  <c r="E162" i="24" s="1"/>
  <c r="G54" i="24"/>
  <c r="D54" i="24"/>
  <c r="J54" i="24"/>
  <c r="J147" i="24" s="1"/>
  <c r="J161" i="24" s="1"/>
  <c r="I55" i="24"/>
  <c r="I148" i="24" s="1"/>
  <c r="I162" i="24" s="1"/>
  <c r="G57" i="2"/>
  <c r="G34" i="2"/>
  <c r="C16" i="11" l="1"/>
  <c r="D40" i="11"/>
  <c r="K40" i="11"/>
  <c r="C40" i="11"/>
  <c r="D16" i="11"/>
  <c r="D147" i="24"/>
  <c r="D161" i="24" s="1"/>
  <c r="P153" i="24"/>
  <c r="G40" i="11"/>
  <c r="P40" i="11" s="1"/>
  <c r="M52" i="24"/>
  <c r="M48" i="24" s="1"/>
  <c r="J16" i="11"/>
  <c r="F61" i="11"/>
  <c r="F16" i="11"/>
  <c r="F17" i="11"/>
  <c r="K17" i="11"/>
  <c r="P149" i="24"/>
  <c r="E16" i="11"/>
  <c r="H159" i="24"/>
  <c r="H155" i="24" s="1"/>
  <c r="E48" i="11"/>
  <c r="G17" i="11"/>
  <c r="D56" i="11" s="1"/>
  <c r="G16" i="11"/>
  <c r="G34" i="24"/>
  <c r="G15" i="26"/>
  <c r="G4" i="24"/>
  <c r="I159" i="24"/>
  <c r="I155" i="24" s="1"/>
  <c r="P81" i="24"/>
  <c r="D79" i="24"/>
  <c r="O50" i="24"/>
  <c r="O158" i="24"/>
  <c r="O157" i="24" s="1"/>
  <c r="P157" i="24" s="1"/>
  <c r="P51" i="24"/>
  <c r="D34" i="24"/>
  <c r="D15" i="26"/>
  <c r="D4" i="24"/>
  <c r="I34" i="24"/>
  <c r="I15" i="26"/>
  <c r="I4" i="24"/>
  <c r="S8" i="11"/>
  <c r="K34" i="24"/>
  <c r="K15" i="26"/>
  <c r="O150" i="24"/>
  <c r="O164" i="24" s="1"/>
  <c r="P57" i="24"/>
  <c r="P150" i="24" s="1"/>
  <c r="C61" i="11"/>
  <c r="J34" i="24"/>
  <c r="J15" i="26"/>
  <c r="P36" i="24"/>
  <c r="H15" i="26"/>
  <c r="H34" i="24"/>
  <c r="H4" i="24"/>
  <c r="F159" i="24"/>
  <c r="F155" i="24" s="1"/>
  <c r="L34" i="24"/>
  <c r="L15" i="26"/>
  <c r="N52" i="24"/>
  <c r="N146" i="24"/>
  <c r="N160" i="24" s="1"/>
  <c r="N159" i="24" s="1"/>
  <c r="N155" i="24" s="1"/>
  <c r="I52" i="24"/>
  <c r="K159" i="24"/>
  <c r="K155" i="24" s="1"/>
  <c r="C15" i="26"/>
  <c r="C46" i="26" s="1"/>
  <c r="C34" i="24"/>
  <c r="C4" i="24"/>
  <c r="E52" i="24"/>
  <c r="AF9" i="11"/>
  <c r="AA9" i="11"/>
  <c r="AA16" i="11" s="1"/>
  <c r="B53" i="24"/>
  <c r="R9" i="11"/>
  <c r="S9" i="11" s="1"/>
  <c r="P9" i="11"/>
  <c r="P16" i="11" s="1"/>
  <c r="B41" i="11"/>
  <c r="D41" i="11" s="1"/>
  <c r="J149" i="24"/>
  <c r="J163" i="24" s="1"/>
  <c r="I16" i="11"/>
  <c r="F63" i="11"/>
  <c r="F62" i="11"/>
  <c r="C62" i="11"/>
  <c r="K58" i="11"/>
  <c r="J58" i="11" s="1"/>
  <c r="I58" i="11" s="1"/>
  <c r="G58" i="11" s="1"/>
  <c r="R40" i="11"/>
  <c r="S40" i="11" s="1"/>
  <c r="E159" i="24"/>
  <c r="E155" i="24" s="1"/>
  <c r="F15" i="26"/>
  <c r="F34" i="24"/>
  <c r="F4" i="24"/>
  <c r="O52" i="24"/>
  <c r="O147" i="24"/>
  <c r="O161" i="24" s="1"/>
  <c r="P55" i="24"/>
  <c r="P148" i="24" s="1"/>
  <c r="J52" i="24"/>
  <c r="J146" i="24"/>
  <c r="J160" i="24" s="1"/>
  <c r="E34" i="24"/>
  <c r="E15" i="26"/>
  <c r="E4" i="24"/>
  <c r="P54" i="24"/>
  <c r="D52" i="24"/>
  <c r="F52" i="24"/>
  <c r="G52" i="24"/>
  <c r="K52" i="24"/>
  <c r="K4" i="24" s="1"/>
  <c r="H52" i="24"/>
  <c r="P38" i="24"/>
  <c r="B34" i="24"/>
  <c r="B4" i="24"/>
  <c r="B15" i="26"/>
  <c r="G147" i="24"/>
  <c r="G161" i="24" s="1"/>
  <c r="G159" i="24" s="1"/>
  <c r="G155" i="24" s="1"/>
  <c r="J40" i="11"/>
  <c r="K16" i="11"/>
  <c r="F40" i="11"/>
  <c r="L52" i="24"/>
  <c r="L146" i="24"/>
  <c r="L160" i="24" s="1"/>
  <c r="L159" i="24" s="1"/>
  <c r="L155" i="24" s="1"/>
  <c r="D148" i="24"/>
  <c r="D162" i="24" s="1"/>
  <c r="M147" i="24"/>
  <c r="M161" i="24" s="1"/>
  <c r="M159" i="24" s="1"/>
  <c r="M155" i="24" s="1"/>
  <c r="M34" i="24"/>
  <c r="M15" i="26"/>
  <c r="M4" i="24" l="1"/>
  <c r="D159" i="24"/>
  <c r="D155" i="24" s="1"/>
  <c r="M29" i="26"/>
  <c r="P147" i="24"/>
  <c r="O16" i="11"/>
  <c r="M46" i="26"/>
  <c r="O17" i="11"/>
  <c r="O159" i="24"/>
  <c r="O155" i="24" s="1"/>
  <c r="P79" i="24"/>
  <c r="D75" i="24"/>
  <c r="H29" i="26"/>
  <c r="H46" i="26" s="1"/>
  <c r="H48" i="24"/>
  <c r="L48" i="24"/>
  <c r="L29" i="26"/>
  <c r="L46" i="26" s="1"/>
  <c r="J159" i="24"/>
  <c r="J155" i="24" s="1"/>
  <c r="AA40" i="11"/>
  <c r="G48" i="24"/>
  <c r="G29" i="26"/>
  <c r="G46" i="26" s="1"/>
  <c r="J48" i="24"/>
  <c r="J29" i="26"/>
  <c r="J46" i="26" s="1"/>
  <c r="P53" i="24"/>
  <c r="P146" i="24" s="1"/>
  <c r="B52" i="24"/>
  <c r="B146" i="24"/>
  <c r="B160" i="24" s="1"/>
  <c r="B159" i="24" s="1"/>
  <c r="G41" i="11"/>
  <c r="P41" i="11" s="1"/>
  <c r="P48" i="11" s="1"/>
  <c r="F41" i="11"/>
  <c r="F29" i="26"/>
  <c r="F46" i="26" s="1"/>
  <c r="F48" i="24"/>
  <c r="C41" i="11"/>
  <c r="R16" i="11"/>
  <c r="L4" i="24"/>
  <c r="Q15" i="26"/>
  <c r="D9" i="28" s="1"/>
  <c r="D29" i="26"/>
  <c r="D46" i="26" s="1"/>
  <c r="D48" i="24"/>
  <c r="K41" i="11"/>
  <c r="I29" i="26"/>
  <c r="I46" i="26" s="1"/>
  <c r="I48" i="24"/>
  <c r="S16" i="11"/>
  <c r="E29" i="26"/>
  <c r="E46" i="26" s="1"/>
  <c r="E48" i="24"/>
  <c r="J41" i="11"/>
  <c r="R41" i="11"/>
  <c r="S41" i="11" s="1"/>
  <c r="K29" i="26"/>
  <c r="K46" i="26" s="1"/>
  <c r="K48" i="24"/>
  <c r="B5" i="24"/>
  <c r="C5" i="24" s="1"/>
  <c r="D5" i="24" s="1"/>
  <c r="E5" i="24" s="1"/>
  <c r="F5" i="24" s="1"/>
  <c r="G5" i="24" s="1"/>
  <c r="H5" i="24" s="1"/>
  <c r="I5" i="24" s="1"/>
  <c r="B35" i="24"/>
  <c r="C35" i="24" s="1"/>
  <c r="D35" i="24" s="1"/>
  <c r="E35" i="24" s="1"/>
  <c r="F35" i="24" s="1"/>
  <c r="G35" i="24" s="1"/>
  <c r="H35" i="24" s="1"/>
  <c r="I35" i="24" s="1"/>
  <c r="J35" i="24" s="1"/>
  <c r="K35" i="24" s="1"/>
  <c r="L35" i="24" s="1"/>
  <c r="M35" i="24" s="1"/>
  <c r="N35" i="24" s="1"/>
  <c r="O35" i="24" s="1"/>
  <c r="P34" i="24"/>
  <c r="B48" i="11"/>
  <c r="D48" i="11" s="1"/>
  <c r="D49" i="11" s="1"/>
  <c r="I41" i="11"/>
  <c r="N4" i="24"/>
  <c r="N48" i="24"/>
  <c r="N29" i="26"/>
  <c r="N46" i="26" s="1"/>
  <c r="J4" i="24"/>
  <c r="O4" i="24"/>
  <c r="O29" i="26"/>
  <c r="O46" i="26" s="1"/>
  <c r="O48" i="24"/>
  <c r="P50" i="24"/>
  <c r="AA41" i="11" l="1"/>
  <c r="AA48" i="11" s="1"/>
  <c r="O40" i="11"/>
  <c r="J48" i="11"/>
  <c r="P4" i="24"/>
  <c r="F48" i="11"/>
  <c r="F49" i="11" s="1"/>
  <c r="G48" i="11"/>
  <c r="G49" i="11" s="1"/>
  <c r="J5" i="24"/>
  <c r="K5" i="24" s="1"/>
  <c r="L5" i="24" s="1"/>
  <c r="M5" i="24" s="1"/>
  <c r="N5" i="24" s="1"/>
  <c r="O5" i="24" s="1"/>
  <c r="B155" i="24"/>
  <c r="P155" i="24" s="1"/>
  <c r="P159" i="24"/>
  <c r="N40" i="11"/>
  <c r="K48" i="11"/>
  <c r="K49" i="11" s="1"/>
  <c r="D76" i="24"/>
  <c r="E76" i="24" s="1"/>
  <c r="F76" i="24" s="1"/>
  <c r="G76" i="24" s="1"/>
  <c r="H76" i="24" s="1"/>
  <c r="I76" i="24" s="1"/>
  <c r="J76" i="24" s="1"/>
  <c r="K76" i="24" s="1"/>
  <c r="L76" i="24" s="1"/>
  <c r="M76" i="24" s="1"/>
  <c r="N76" i="24" s="1"/>
  <c r="O76" i="24" s="1"/>
  <c r="P76" i="24" s="1"/>
  <c r="P75" i="24"/>
  <c r="B48" i="24"/>
  <c r="B29" i="26"/>
  <c r="P52" i="24"/>
  <c r="O49" i="11" l="1"/>
  <c r="J49" i="11"/>
  <c r="O48" i="11"/>
  <c r="B46" i="26"/>
  <c r="Q46" i="26" s="1"/>
  <c r="D17" i="28" s="1"/>
  <c r="Q29" i="26"/>
  <c r="D10" i="28" s="1"/>
  <c r="B49" i="24"/>
  <c r="C49" i="24" s="1"/>
  <c r="D49" i="24" s="1"/>
  <c r="E49" i="24" s="1"/>
  <c r="F49" i="24" s="1"/>
  <c r="G49" i="24" s="1"/>
  <c r="H49" i="24" s="1"/>
  <c r="I49" i="24" s="1"/>
  <c r="J49" i="24" s="1"/>
  <c r="K49" i="24" s="1"/>
  <c r="L49" i="24" s="1"/>
  <c r="M49" i="24" s="1"/>
  <c r="N49" i="24" s="1"/>
  <c r="O49" i="24" s="1"/>
  <c r="P48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nbalea</author>
  </authors>
  <commentList>
    <comment ref="D3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nbalea:</t>
        </r>
        <r>
          <rPr>
            <sz val="9"/>
            <color indexed="81"/>
            <rFont val="Tahoma"/>
            <family val="2"/>
          </rPr>
          <t xml:space="preserve">
Linkear a Cotizaciones
</t>
        </r>
      </text>
    </comment>
  </commentList>
</comments>
</file>

<file path=xl/sharedStrings.xml><?xml version="1.0" encoding="utf-8"?>
<sst xmlns="http://schemas.openxmlformats.org/spreadsheetml/2006/main" count="3150" uniqueCount="538">
  <si>
    <t>PROYECCIÓN ALEA SIEMBRA: COTIZACIONES</t>
  </si>
  <si>
    <t>MONEDAS</t>
  </si>
  <si>
    <t>LABORES (U$/Ha) // FLETES (U$/TON)</t>
  </si>
  <si>
    <t>AGROQUÍMICOS/FERTILIZANTES (U$/Unid)</t>
  </si>
  <si>
    <t>PRODUCTO (U$/Ton)</t>
  </si>
  <si>
    <t>Dólar</t>
  </si>
  <si>
    <t>Análisis</t>
  </si>
  <si>
    <t>2,4-D</t>
  </si>
  <si>
    <t>Lt</t>
  </si>
  <si>
    <t>Euro</t>
  </si>
  <si>
    <t>Aplicación Cebo</t>
  </si>
  <si>
    <t>-</t>
  </si>
  <si>
    <t>Aceite Vegetal</t>
  </si>
  <si>
    <t>Cultivador</t>
  </si>
  <si>
    <t>Acetoclor</t>
  </si>
  <si>
    <t>Px bruto</t>
  </si>
  <si>
    <t>Disco, Rastra y Rolo</t>
  </si>
  <si>
    <t>Allegro</t>
  </si>
  <si>
    <t>Cebada Cervera</t>
  </si>
  <si>
    <t>Escardillo</t>
  </si>
  <si>
    <t>Arrancador Azufrado</t>
  </si>
  <si>
    <t>Ton</t>
  </si>
  <si>
    <t>Cebada Forrajera</t>
  </si>
  <si>
    <t>Fertilización Urea</t>
  </si>
  <si>
    <t>Atrazina granulada</t>
  </si>
  <si>
    <t>kg</t>
  </si>
  <si>
    <t>Colza</t>
  </si>
  <si>
    <t xml:space="preserve">  </t>
  </si>
  <si>
    <t>Fertilización UAN</t>
  </si>
  <si>
    <t>Axial</t>
  </si>
  <si>
    <t>rofex</t>
  </si>
  <si>
    <t>Girasol</t>
  </si>
  <si>
    <t>Limpieza, Curada e Inoculada</t>
  </si>
  <si>
    <t>Bellis</t>
  </si>
  <si>
    <t>Maíz</t>
  </si>
  <si>
    <t>Medición Satelital</t>
  </si>
  <si>
    <t>Caramba</t>
  </si>
  <si>
    <t xml:space="preserve">Soja </t>
  </si>
  <si>
    <t>Monitoreo B y BB.</t>
  </si>
  <si>
    <t>Cebo</t>
  </si>
  <si>
    <t>Trigo</t>
  </si>
  <si>
    <t>Muestreo de Suelos</t>
  </si>
  <si>
    <t>Cipermetrina</t>
  </si>
  <si>
    <t>Pulverización Aerea</t>
  </si>
  <si>
    <t>Clearsol</t>
  </si>
  <si>
    <t>Pulverización Terrestre</t>
  </si>
  <si>
    <t>Clearsol Plus</t>
  </si>
  <si>
    <t>Rolo Picador</t>
  </si>
  <si>
    <t>Clorimuron</t>
  </si>
  <si>
    <t>Kg</t>
  </si>
  <si>
    <t>Siembra Conv. Fina</t>
  </si>
  <si>
    <t>Clorpirifos</t>
  </si>
  <si>
    <t>Siembra Conv. Gruesa</t>
  </si>
  <si>
    <t>Coadyudante (Acampo max N)18</t>
  </si>
  <si>
    <t>Siembra Directa Fina</t>
  </si>
  <si>
    <t>Coadyugante Extremo</t>
  </si>
  <si>
    <t>Siembra Directa Gruesa</t>
  </si>
  <si>
    <t>Curasemillas Fina (sist)</t>
  </si>
  <si>
    <t>tn</t>
  </si>
  <si>
    <t>Dicamba</t>
  </si>
  <si>
    <t>Extracción Embolsado</t>
  </si>
  <si>
    <t>Fluorucloridona</t>
  </si>
  <si>
    <t>Fosforo (MAP / DAP)</t>
  </si>
  <si>
    <t>Aproximado</t>
  </si>
  <si>
    <t>Orquesta</t>
  </si>
  <si>
    <t>Secada Cebada Cervecera</t>
  </si>
  <si>
    <t>Cletodyn</t>
  </si>
  <si>
    <t>Secada Cebada Forrajera</t>
  </si>
  <si>
    <t>Glifosato</t>
  </si>
  <si>
    <t>Secada Colza</t>
  </si>
  <si>
    <t>Inoculante (Combi full action)</t>
  </si>
  <si>
    <t>pack (3 ton)</t>
  </si>
  <si>
    <t>Secada Maíz</t>
  </si>
  <si>
    <t>Intrepid</t>
  </si>
  <si>
    <t>Secada Girasol</t>
  </si>
  <si>
    <t>lambda 25%</t>
  </si>
  <si>
    <t>MCPA</t>
  </si>
  <si>
    <t>Secada Soja</t>
  </si>
  <si>
    <t>Lontrel</t>
  </si>
  <si>
    <t>Secada Trigo</t>
  </si>
  <si>
    <t>Nitrogeno (Urea)</t>
  </si>
  <si>
    <t xml:space="preserve">Paritaria </t>
  </si>
  <si>
    <t>Nitrogeno Líquido 32% (Solmix)</t>
  </si>
  <si>
    <t>Traspile</t>
  </si>
  <si>
    <t>Picloran</t>
  </si>
  <si>
    <t>l</t>
  </si>
  <si>
    <t>Metsulfuron</t>
  </si>
  <si>
    <t>Peack Pack</t>
  </si>
  <si>
    <t>Pack</t>
  </si>
  <si>
    <t>SEMILLA (U$/Ton)</t>
  </si>
  <si>
    <t>Pibot</t>
  </si>
  <si>
    <t>Semilla Cebada Curada</t>
  </si>
  <si>
    <t>Silobolsa Fina</t>
  </si>
  <si>
    <t>220 tn</t>
  </si>
  <si>
    <t>Semilla Colza</t>
  </si>
  <si>
    <t>bolsa 20 Kg</t>
  </si>
  <si>
    <t>Silobolsa Gruesa</t>
  </si>
  <si>
    <t>210 tons</t>
  </si>
  <si>
    <t>Semilla Girasol</t>
  </si>
  <si>
    <t>150mil Sem</t>
  </si>
  <si>
    <t>Sulfato de Amonio</t>
  </si>
  <si>
    <t>lts</t>
  </si>
  <si>
    <t>Semilla Girasol Oleico</t>
  </si>
  <si>
    <t>180mil Sem</t>
  </si>
  <si>
    <t>sulfosato</t>
  </si>
  <si>
    <t>Lts</t>
  </si>
  <si>
    <t>Semilla Maíz</t>
  </si>
  <si>
    <t>80mil sem</t>
  </si>
  <si>
    <t xml:space="preserve">Semilla Soja </t>
  </si>
  <si>
    <t>Bolsa 40kg</t>
  </si>
  <si>
    <t>PARAQUAT</t>
  </si>
  <si>
    <t>Semilla Soja propia</t>
  </si>
  <si>
    <t>Affinity</t>
  </si>
  <si>
    <t>Semilla Trigo</t>
  </si>
  <si>
    <t>spider</t>
  </si>
  <si>
    <t>Starane</t>
  </si>
  <si>
    <t>texaro</t>
  </si>
  <si>
    <t>fomesafen</t>
  </si>
  <si>
    <t>Agroquímicos</t>
  </si>
  <si>
    <t>cebada</t>
  </si>
  <si>
    <t xml:space="preserve">Agroquimicos </t>
  </si>
  <si>
    <t>Maiz</t>
  </si>
  <si>
    <t xml:space="preserve">Curasemillas </t>
  </si>
  <si>
    <t>Coadyuvante</t>
  </si>
  <si>
    <t>Coadyugante (Lecitina)</t>
  </si>
  <si>
    <t>Inoculante</t>
  </si>
  <si>
    <t>Aceite vegetal</t>
  </si>
  <si>
    <t>Sulfosato</t>
  </si>
  <si>
    <t>Clearsol CP</t>
  </si>
  <si>
    <t>Atrazina</t>
  </si>
  <si>
    <t>Karate Zeon</t>
  </si>
  <si>
    <t>Fungicida (Orquesta)</t>
  </si>
  <si>
    <t>Fungicida (Opera)</t>
  </si>
  <si>
    <t>Soprano</t>
  </si>
  <si>
    <t>Metsulfurón</t>
  </si>
  <si>
    <t xml:space="preserve">Ferti </t>
  </si>
  <si>
    <t>cebo</t>
  </si>
  <si>
    <t>urea</t>
  </si>
  <si>
    <t>ferti</t>
  </si>
  <si>
    <t>semilla</t>
  </si>
  <si>
    <t>Fertilizantes</t>
  </si>
  <si>
    <t>Graminicida</t>
  </si>
  <si>
    <t>Urea</t>
  </si>
  <si>
    <t>curasemilla sistiva</t>
  </si>
  <si>
    <t>coadyudante</t>
  </si>
  <si>
    <t>Aceite</t>
  </si>
  <si>
    <t>24d</t>
  </si>
  <si>
    <t>+</t>
  </si>
  <si>
    <t>Fungicida Opera</t>
  </si>
  <si>
    <t>clorpirifos</t>
  </si>
  <si>
    <t>Semilla cebada</t>
  </si>
  <si>
    <t>semilla Trigo</t>
  </si>
  <si>
    <t>Semilla Maiz</t>
  </si>
  <si>
    <t xml:space="preserve"> </t>
  </si>
  <si>
    <t>SUELOS PROFUNDOS</t>
  </si>
  <si>
    <t>doble cultivo</t>
  </si>
  <si>
    <t>Has</t>
  </si>
  <si>
    <t>Rinde</t>
  </si>
  <si>
    <t>Arrend.</t>
  </si>
  <si>
    <t>Precio</t>
  </si>
  <si>
    <t>Ingreso Bruto</t>
  </si>
  <si>
    <t>Costo</t>
  </si>
  <si>
    <t>R. Indif</t>
  </si>
  <si>
    <t>Resultado</t>
  </si>
  <si>
    <t>Inversión Real</t>
  </si>
  <si>
    <t>costo prod/tn</t>
  </si>
  <si>
    <t xml:space="preserve">costo tn/Px </t>
  </si>
  <si>
    <t>Retorno</t>
  </si>
  <si>
    <t>Administración</t>
  </si>
  <si>
    <t>Tons / Ha</t>
  </si>
  <si>
    <t>U$ / Ha</t>
  </si>
  <si>
    <t>U$ / Ton</t>
  </si>
  <si>
    <t>Inversion</t>
  </si>
  <si>
    <t>costos</t>
  </si>
  <si>
    <t>u$ / Ton</t>
  </si>
  <si>
    <t>U$</t>
  </si>
  <si>
    <t>$</t>
  </si>
  <si>
    <t>Trigo /        SOJA 2DA</t>
  </si>
  <si>
    <t>Trigo /                  Soja 2da</t>
  </si>
  <si>
    <t>Cebada /        Soja 2da</t>
  </si>
  <si>
    <t>Maiz 2da</t>
  </si>
  <si>
    <t>Colza /                   Soja 2da</t>
  </si>
  <si>
    <t>Girasol Oleico</t>
  </si>
  <si>
    <t>TOTAL / HA</t>
  </si>
  <si>
    <t>RI</t>
  </si>
  <si>
    <t>TOTAL</t>
  </si>
  <si>
    <t>RC</t>
  </si>
  <si>
    <t>SUELOS SOMEROS</t>
  </si>
  <si>
    <t>Rinde Indif</t>
  </si>
  <si>
    <t>U$ / ha</t>
  </si>
  <si>
    <t>Real</t>
  </si>
  <si>
    <t>Nominal</t>
  </si>
  <si>
    <t>RR</t>
  </si>
  <si>
    <t>RN</t>
  </si>
  <si>
    <t>PROYECTO GENERAL</t>
  </si>
  <si>
    <t>Arrendamiento en qq</t>
  </si>
  <si>
    <t xml:space="preserve">Matba </t>
  </si>
  <si>
    <t>Mayo</t>
  </si>
  <si>
    <t>Diciembre</t>
  </si>
  <si>
    <t>Total</t>
  </si>
  <si>
    <t>80 % primer cultivo</t>
  </si>
  <si>
    <t>20 % segundo cutivo</t>
  </si>
  <si>
    <t>Cebada</t>
  </si>
  <si>
    <t>Alea</t>
  </si>
  <si>
    <t>Labores</t>
  </si>
  <si>
    <t>Semilla</t>
  </si>
  <si>
    <t>Arrendamiento</t>
  </si>
  <si>
    <t>Gerenciamiento</t>
  </si>
  <si>
    <t>Alquiler</t>
  </si>
  <si>
    <t>PROYECCIÓN ALEA SIEMBRA: CASH FLOW SIEMBRAS PROPIAS</t>
  </si>
  <si>
    <t>TOTAL Con IVA</t>
  </si>
  <si>
    <t>TOTAL MENSUAL</t>
  </si>
  <si>
    <t>c/iva</t>
  </si>
  <si>
    <t>TOTAL ACUMULADO</t>
  </si>
  <si>
    <t>TRIGO</t>
  </si>
  <si>
    <t>INGRESOS</t>
  </si>
  <si>
    <t>Ventas</t>
  </si>
  <si>
    <t>EGRESOS</t>
  </si>
  <si>
    <t>Insumos</t>
  </si>
  <si>
    <t>Fertilizante</t>
  </si>
  <si>
    <t>Cosecha// Comerc</t>
  </si>
  <si>
    <t>Seguro</t>
  </si>
  <si>
    <t>SOJA 2DA TRIGO</t>
  </si>
  <si>
    <t>CEBADA</t>
  </si>
  <si>
    <t>SOJA 2DA CEBADA</t>
  </si>
  <si>
    <t>MAIZ 2DA</t>
  </si>
  <si>
    <t>SOJA 2DA COLZA</t>
  </si>
  <si>
    <t>MAÍZ</t>
  </si>
  <si>
    <t>SOJA</t>
  </si>
  <si>
    <t>GIRASOL</t>
  </si>
  <si>
    <t>GIRASOL OLEICO</t>
  </si>
  <si>
    <t xml:space="preserve">TOTAL </t>
  </si>
  <si>
    <t>IVA</t>
  </si>
  <si>
    <t>IVA VENTA</t>
  </si>
  <si>
    <t>Ingresos</t>
  </si>
  <si>
    <t>IVA COMPRA</t>
  </si>
  <si>
    <t xml:space="preserve">Proyección Cebada </t>
  </si>
  <si>
    <t>HECTAREAS</t>
  </si>
  <si>
    <t>CANTIDAD</t>
  </si>
  <si>
    <t>UNIDAD</t>
  </si>
  <si>
    <t>PRECIO</t>
  </si>
  <si>
    <t>% Costo</t>
  </si>
  <si>
    <t>Inv Real</t>
  </si>
  <si>
    <t>Mes</t>
  </si>
  <si>
    <t>MES CASH FLOW</t>
  </si>
  <si>
    <t>UNITARIO</t>
  </si>
  <si>
    <t>Disco,rastra y rolo</t>
  </si>
  <si>
    <t>Uni</t>
  </si>
  <si>
    <t>Abril</t>
  </si>
  <si>
    <t>MAYO</t>
  </si>
  <si>
    <t>Rolo picador</t>
  </si>
  <si>
    <t>Barbecho Quimico</t>
  </si>
  <si>
    <t xml:space="preserve">Siembra </t>
  </si>
  <si>
    <t>JULIO</t>
  </si>
  <si>
    <t>Pulverizacion Post-emergente</t>
  </si>
  <si>
    <t>1/2 Julio</t>
  </si>
  <si>
    <t>AGOSTO</t>
  </si>
  <si>
    <t>Pulverización graminicidas</t>
  </si>
  <si>
    <t>Aplicación Urea</t>
  </si>
  <si>
    <t>Aplicacion  Fungicida Terrestre</t>
  </si>
  <si>
    <t>1/2 octubre</t>
  </si>
  <si>
    <t>NOVIEMBRE</t>
  </si>
  <si>
    <t>Muestreo de suelos</t>
  </si>
  <si>
    <t>Analisis de suelos</t>
  </si>
  <si>
    <t>Medicion satelital GPS</t>
  </si>
  <si>
    <t>Total Labores</t>
  </si>
  <si>
    <t xml:space="preserve">Semilla Cebada </t>
  </si>
  <si>
    <t>Canje</t>
  </si>
  <si>
    <t>ENERO</t>
  </si>
  <si>
    <t>Flete</t>
  </si>
  <si>
    <t>Total Semilla</t>
  </si>
  <si>
    <t>Total Arrendamiento</t>
  </si>
  <si>
    <t>USD / Ha</t>
  </si>
  <si>
    <t>Total Gerenciamiento</t>
  </si>
  <si>
    <t>Fosforados (en campo)</t>
  </si>
  <si>
    <t>Ton.</t>
  </si>
  <si>
    <t>DICIEMBRE</t>
  </si>
  <si>
    <t>Nitrogenados (en campo)</t>
  </si>
  <si>
    <t>ABRIL</t>
  </si>
  <si>
    <t>200 tn se paga en marzo 100 tn en junio</t>
  </si>
  <si>
    <t>Total Fertilizantes</t>
  </si>
  <si>
    <t>siembra</t>
  </si>
  <si>
    <t>Paraquat</t>
  </si>
  <si>
    <t>Lts.</t>
  </si>
  <si>
    <t>Fungicida</t>
  </si>
  <si>
    <t>SEPTIEMBRE</t>
  </si>
  <si>
    <t>Flurocloridona</t>
  </si>
  <si>
    <t>Kgs</t>
  </si>
  <si>
    <t>Total Agroquimicos</t>
  </si>
  <si>
    <t>Cosecha</t>
  </si>
  <si>
    <t>Hás.</t>
  </si>
  <si>
    <t>Total Cosecha</t>
  </si>
  <si>
    <t>Seguro (Granizo)</t>
  </si>
  <si>
    <t>Total Seguro</t>
  </si>
  <si>
    <t>Costos Financiero</t>
  </si>
  <si>
    <t>%</t>
  </si>
  <si>
    <t>Total Costo Financ.</t>
  </si>
  <si>
    <t>Costo Total/ha</t>
  </si>
  <si>
    <t xml:space="preserve">Alea </t>
  </si>
  <si>
    <t>Socio</t>
  </si>
  <si>
    <t>Comercialización</t>
  </si>
  <si>
    <t>Extraccion/Embolsado</t>
  </si>
  <si>
    <t>U$ / ton</t>
  </si>
  <si>
    <t>Silobolsa</t>
  </si>
  <si>
    <t>180 Tons</t>
  </si>
  <si>
    <t>Secada</t>
  </si>
  <si>
    <t>Paritaria</t>
  </si>
  <si>
    <t>Analisis</t>
  </si>
  <si>
    <t xml:space="preserve">Flete </t>
  </si>
  <si>
    <t>Comisión</t>
  </si>
  <si>
    <t>Total Comercialización</t>
  </si>
  <si>
    <t>Gastos Comerciales/tn</t>
  </si>
  <si>
    <t xml:space="preserve">Precio Neto Estimado </t>
  </si>
  <si>
    <t>TRIGO SUELO PROFUNDO</t>
  </si>
  <si>
    <t>Resultado Estimado Cebada</t>
  </si>
  <si>
    <t xml:space="preserve">Rendimiento Estimado </t>
  </si>
  <si>
    <t>Ton/Ha.</t>
  </si>
  <si>
    <t>Costo Total</t>
  </si>
  <si>
    <t>Ha</t>
  </si>
  <si>
    <t>labores</t>
  </si>
  <si>
    <t>Costo/tn</t>
  </si>
  <si>
    <t>Margen</t>
  </si>
  <si>
    <t>Ingreso Bruto (2% IB)</t>
  </si>
  <si>
    <t>fertis</t>
  </si>
  <si>
    <t>agroquimicos</t>
  </si>
  <si>
    <t xml:space="preserve">Retorno </t>
  </si>
  <si>
    <t>Rendimiento de Indiferencia</t>
  </si>
  <si>
    <t>Retorno Real</t>
  </si>
  <si>
    <t>Rinde Indiferencia</t>
  </si>
  <si>
    <t>Costo Total Sementera</t>
  </si>
  <si>
    <t>Cebada Cervecera</t>
  </si>
  <si>
    <t xml:space="preserve"> % Retorno </t>
  </si>
  <si>
    <t>Px/Rinde</t>
  </si>
  <si>
    <t>MB CEBADA SUELOS PROFUNDOS (USD/TON) (s/IB)</t>
  </si>
  <si>
    <t>Proyección Cebada Suelos Someros</t>
  </si>
  <si>
    <t>Aplicación Fungicida</t>
  </si>
  <si>
    <t>JUNIO</t>
  </si>
  <si>
    <t>Fungicida (orquesta)</t>
  </si>
  <si>
    <t>Dosis</t>
  </si>
  <si>
    <t>CEBADA SUELOS SOMEROS</t>
  </si>
  <si>
    <t>Forrajera + Soja 2da</t>
  </si>
  <si>
    <t>Precio Estimado</t>
  </si>
  <si>
    <t>Costo Total Cementera</t>
  </si>
  <si>
    <t>MB CEBADA SUELOS SOMEROS (USD/TON)</t>
  </si>
  <si>
    <t>Proyección Soja 2da Cebada</t>
  </si>
  <si>
    <t>Siembra Directa</t>
  </si>
  <si>
    <t>Pulverizacion Herbicida</t>
  </si>
  <si>
    <t>MARZO</t>
  </si>
  <si>
    <t>Aplicación terrestre Insecticida</t>
  </si>
  <si>
    <t xml:space="preserve">Semilla de Soja </t>
  </si>
  <si>
    <t>Kgs.</t>
  </si>
  <si>
    <t>Fosforados ( puesto en el campo )</t>
  </si>
  <si>
    <t>ENERO/MARZO</t>
  </si>
  <si>
    <t xml:space="preserve">Inoculante </t>
  </si>
  <si>
    <t>Pack 3 Ton</t>
  </si>
  <si>
    <t>210 Tons</t>
  </si>
  <si>
    <t xml:space="preserve">Precio bruto </t>
  </si>
  <si>
    <t>MB Ceb/soja</t>
  </si>
  <si>
    <t>Precio Neto Estimado</t>
  </si>
  <si>
    <t>Retorno (%)</t>
  </si>
  <si>
    <t>MB SOJA SEGUNDA (USD / TON)</t>
  </si>
  <si>
    <t>Proyección Trigo Suelos Profundos</t>
  </si>
  <si>
    <t>2 mayo, 1 jun</t>
  </si>
  <si>
    <t>JULIO/SEPTIEMBRE</t>
  </si>
  <si>
    <t>Aplicación terrestre Fungicida/Insecticida</t>
  </si>
  <si>
    <t>Semilla de trigo curada</t>
  </si>
  <si>
    <t xml:space="preserve">Fosforados </t>
  </si>
  <si>
    <t xml:space="preserve">Nitrogenados </t>
  </si>
  <si>
    <t>Kg.</t>
  </si>
  <si>
    <t>CLETODIM</t>
  </si>
  <si>
    <t>Total/ha</t>
  </si>
  <si>
    <t>$ / ton</t>
  </si>
  <si>
    <t>Rendimiento Estimado</t>
  </si>
  <si>
    <t>Ingreso  (2% IIB)</t>
  </si>
  <si>
    <t>RENTABILIDAD TRIGO SUELOS PROFUNDOS (%)</t>
  </si>
  <si>
    <t>MB TRIGO SUELOS PROFUNDOS (USD / TON)</t>
  </si>
  <si>
    <t>Proyección Soja 2da Trigo</t>
  </si>
  <si>
    <t>Limpieza e inoculada</t>
  </si>
  <si>
    <t>Pack 2,5 Ton</t>
  </si>
  <si>
    <t>}</t>
  </si>
  <si>
    <t>SOJA DE SEGUNDA SUELO PROFUNDO</t>
  </si>
  <si>
    <t>MB SOJA DE SEGUNDA SUELOS PROFUNDOS (USD / TON)</t>
  </si>
  <si>
    <t>Proyección Maíz RR SP</t>
  </si>
  <si>
    <t>FEBRERO</t>
  </si>
  <si>
    <t xml:space="preserve">Pulverizacion Post-emergente </t>
  </si>
  <si>
    <t xml:space="preserve">Pulverizacion Pre-emergente </t>
  </si>
  <si>
    <t>Fertilización</t>
  </si>
  <si>
    <t>Aplicación terrestre Fungicida</t>
  </si>
  <si>
    <t>Aplicación aerea insecticida</t>
  </si>
  <si>
    <t>Semilla de Maiz curada</t>
  </si>
  <si>
    <t>Bolsa</t>
  </si>
  <si>
    <t>Fosforados (MAP / DAP)</t>
  </si>
  <si>
    <t>Nitrogenados (Urea)</t>
  </si>
  <si>
    <t>Merma</t>
  </si>
  <si>
    <t>Ceb/maiz</t>
  </si>
  <si>
    <t>Rentabilidad (%)</t>
  </si>
  <si>
    <t>MB Maiz</t>
  </si>
  <si>
    <t>Proyección Girasol SS</t>
  </si>
  <si>
    <t>Pulverizacion Pre-emergente</t>
  </si>
  <si>
    <t>Monitoreo de BB y B</t>
  </si>
  <si>
    <t>Aplicación de Cebo</t>
  </si>
  <si>
    <t>semilla Girasol</t>
  </si>
  <si>
    <t>Fosforados (S10)</t>
  </si>
  <si>
    <t>Nitrogenados (Solmix)</t>
  </si>
  <si>
    <t>MB</t>
  </si>
  <si>
    <t>Proyección Soja 2da SS</t>
  </si>
  <si>
    <t>Coayudante</t>
  </si>
  <si>
    <t>Pre emergente</t>
  </si>
  <si>
    <t>OCTUBRE</t>
  </si>
  <si>
    <t>Proyección Girasol CL Suelos Profundos</t>
  </si>
  <si>
    <t>jun</t>
  </si>
  <si>
    <t>Pulverizacion Post-emergente (CL)</t>
  </si>
  <si>
    <t xml:space="preserve">Monitoreo bb y b </t>
  </si>
  <si>
    <t>Aplicacion Cebo</t>
  </si>
  <si>
    <t xml:space="preserve">Semilla de girasol cl </t>
  </si>
  <si>
    <t>Bolsa 180</t>
  </si>
  <si>
    <t>Nitrogenados</t>
  </si>
  <si>
    <t>barb (1ro)</t>
  </si>
  <si>
    <t xml:space="preserve">Clearsol </t>
  </si>
  <si>
    <t>barb (2do)</t>
  </si>
  <si>
    <t>cletodim</t>
  </si>
  <si>
    <t>kgs.</t>
  </si>
  <si>
    <t>Seguro (Granizo y viento)</t>
  </si>
  <si>
    <t>% Ing Bruto</t>
  </si>
  <si>
    <t>GIRASOL COMÚN SUELO PROFUNDO</t>
  </si>
  <si>
    <t>Bonificación MG</t>
  </si>
  <si>
    <t>Bonificación H.</t>
  </si>
  <si>
    <t>Precio Neto con Bonif</t>
  </si>
  <si>
    <t>Proyección Girasol CL Suelos Someros</t>
  </si>
  <si>
    <t>JULIO/OCTUBRE</t>
  </si>
  <si>
    <t>Semilla de girasol 202 cl curada</t>
  </si>
  <si>
    <t>Bolsa 150mil</t>
  </si>
  <si>
    <t>OCTUVBRE</t>
  </si>
  <si>
    <t>Precio Neto</t>
  </si>
  <si>
    <t>Proyección Girasol Oleico Suelos Profundos</t>
  </si>
  <si>
    <t>nov</t>
  </si>
  <si>
    <t>Aplicación bb y b</t>
  </si>
  <si>
    <t>uni</t>
  </si>
  <si>
    <t>Semilla de girasol DK 3845 OILPLUS 62mil plantas</t>
  </si>
  <si>
    <t xml:space="preserve">Bolsa </t>
  </si>
  <si>
    <t>Siembra</t>
  </si>
  <si>
    <t>Nitrogenados ( puesto en el campo )</t>
  </si>
  <si>
    <t>Coadyuvante (Lecitina de Soja)</t>
  </si>
  <si>
    <t>pulv gramin</t>
  </si>
  <si>
    <t>preemergente</t>
  </si>
  <si>
    <t>aplic insect aerea</t>
  </si>
  <si>
    <t>Monitoreo bb y b + Aplicación</t>
  </si>
  <si>
    <t>,</t>
  </si>
  <si>
    <t>GIRASOL OLEICO SUELOS PROFUNDOS</t>
  </si>
  <si>
    <t>Prima Oleico</t>
  </si>
  <si>
    <t>Proyección Girasol Oleico Suelos Someros</t>
  </si>
  <si>
    <t>Monitoreo bb y b</t>
  </si>
  <si>
    <t>Semilla de girasol DK 3845 OILPLUS</t>
  </si>
  <si>
    <t>preem</t>
  </si>
  <si>
    <t>bar (1ro)</t>
  </si>
  <si>
    <t>aplic gram</t>
  </si>
  <si>
    <t>Fungicida (Vivarus)</t>
  </si>
  <si>
    <t>aplic aerea</t>
  </si>
  <si>
    <t>aplic cebo</t>
  </si>
  <si>
    <t>GIRASOL OLEICO SUELOS SOMEROS</t>
  </si>
  <si>
    <t>Proyección Soja Suelos Profundos</t>
  </si>
  <si>
    <t>UNI</t>
  </si>
  <si>
    <t xml:space="preserve">Pulverizacion </t>
  </si>
  <si>
    <t>Aplicación terrestre Insecticida/ Fungicida</t>
  </si>
  <si>
    <t>Limpieza e inoculado</t>
  </si>
  <si>
    <t>Semilla de Soja propia</t>
  </si>
  <si>
    <t xml:space="preserve">Arrancador Azufrado </t>
  </si>
  <si>
    <t>pulv</t>
  </si>
  <si>
    <t>fung</t>
  </si>
  <si>
    <t>Coadyudante</t>
  </si>
  <si>
    <t>Lactofen</t>
  </si>
  <si>
    <t>sulfo</t>
  </si>
  <si>
    <t>pulv (1ra)</t>
  </si>
  <si>
    <t>SOJA SUELOS PROFUNDOS</t>
  </si>
  <si>
    <t>Proyección Soja Suelos Someros</t>
  </si>
  <si>
    <t>Pack 2,5 ton</t>
  </si>
  <si>
    <t>Barbecho Quimico (1ro)</t>
  </si>
  <si>
    <t>Pulv</t>
  </si>
  <si>
    <t>SOJA SUELOS SOMEROS</t>
  </si>
  <si>
    <t>Proyección Trigo Suelos Someros</t>
  </si>
  <si>
    <t>Fungicida (Allegro)</t>
  </si>
  <si>
    <t>NOVIEMBRE]</t>
  </si>
  <si>
    <t>Trigo + Soja 2da</t>
  </si>
  <si>
    <t>Cebada/Soja 2da</t>
  </si>
  <si>
    <t>Total Has</t>
  </si>
  <si>
    <t>TIR</t>
  </si>
  <si>
    <t>Soja 2da ceb</t>
  </si>
  <si>
    <t>Soja 2da tri</t>
  </si>
  <si>
    <t>Soja</t>
  </si>
  <si>
    <t xml:space="preserve">Girasol </t>
  </si>
  <si>
    <t>TIR GLOBAL</t>
  </si>
  <si>
    <t>FLUJO NETO</t>
  </si>
  <si>
    <t>SOJA SEGUNDA CEBADA</t>
  </si>
  <si>
    <t>FLUJO TOTAL</t>
  </si>
  <si>
    <t>sulfentrazone</t>
  </si>
  <si>
    <t>clearsol</t>
  </si>
  <si>
    <t>bonif 10%</t>
  </si>
  <si>
    <t>Fertilizacion</t>
  </si>
  <si>
    <t>coragen</t>
  </si>
  <si>
    <t>MCPA 75 %</t>
  </si>
  <si>
    <t>carfentrazone</t>
  </si>
  <si>
    <t>Sulfentrazone</t>
  </si>
  <si>
    <t>Acuron Pack</t>
  </si>
  <si>
    <t>pack 10 has</t>
  </si>
  <si>
    <t>Fomesafen</t>
  </si>
  <si>
    <t>Lambda</t>
  </si>
  <si>
    <t>Coragen</t>
  </si>
  <si>
    <t>lambda</t>
  </si>
  <si>
    <t>fomsesafen</t>
  </si>
  <si>
    <t xml:space="preserve">Pulverización post </t>
  </si>
  <si>
    <t>Fina</t>
  </si>
  <si>
    <t>Gruesa</t>
  </si>
  <si>
    <t>Cebda</t>
  </si>
  <si>
    <t>Rotacion</t>
  </si>
  <si>
    <t>has</t>
  </si>
  <si>
    <t>cultivos</t>
  </si>
  <si>
    <t>Proyeccion General  2526</t>
  </si>
  <si>
    <t>Px dolor</t>
  </si>
  <si>
    <t>Preemergente</t>
  </si>
  <si>
    <t>UREA</t>
  </si>
  <si>
    <t>Trifluralina</t>
  </si>
  <si>
    <t>Diquat</t>
  </si>
  <si>
    <t>Soja de segunda sobre Cebada</t>
  </si>
  <si>
    <t>yamato top</t>
  </si>
  <si>
    <t>El silencio</t>
  </si>
  <si>
    <t>Glufosinato</t>
  </si>
  <si>
    <t>Precio bruto Factor 95</t>
  </si>
  <si>
    <t xml:space="preserve">Cervecera + Soja 2da </t>
  </si>
  <si>
    <t xml:space="preserve">trigo + Soja 2da </t>
  </si>
  <si>
    <t>Piroxasulfone</t>
  </si>
  <si>
    <t>Convey</t>
  </si>
  <si>
    <t>convey</t>
  </si>
  <si>
    <t>yamato</t>
  </si>
  <si>
    <t>Alea/ha</t>
  </si>
  <si>
    <t>batalium</t>
  </si>
  <si>
    <t>Flete Cereal 110 kms</t>
  </si>
  <si>
    <t>Flete Semilla 110 kms</t>
  </si>
  <si>
    <t>lamba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</si>
</sst>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 $ &quot;#,##0.00\ ;&quot; $ -&quot;#,##0.00\ ;&quot; $ -&quot;#\ ;@\ "/>
    <numFmt numFmtId="167" formatCode="&quot;U$ &quot;#,##0.00\ ;&quot; $ -&quot;#,##0.00\ ;&quot; $ -&quot;#\ ;@\ "/>
    <numFmt numFmtId="168" formatCode="&quot;$ &quot;#,##0.00"/>
    <numFmt numFmtId="169" formatCode="&quot;U$ &quot;0.00"/>
    <numFmt numFmtId="170" formatCode="#,##0.0"/>
    <numFmt numFmtId="171" formatCode="\$#,##0.00\ ;&quot;($&quot;#,##0.00\)"/>
    <numFmt numFmtId="172" formatCode="&quot;U$ &quot;0"/>
    <numFmt numFmtId="173" formatCode="#,##0.000"/>
    <numFmt numFmtId="174" formatCode="\$#,##0.00"/>
    <numFmt numFmtId="175" formatCode="0\ ;[Red]\-0\ "/>
    <numFmt numFmtId="176" formatCode="0.000"/>
    <numFmt numFmtId="177" formatCode="0.0"/>
    <numFmt numFmtId="178" formatCode="&quot;$&quot;\ #,##0.00"/>
    <numFmt numFmtId="179" formatCode="[$USD]\ #,##0.00"/>
    <numFmt numFmtId="180" formatCode="0.0%"/>
    <numFmt numFmtId="181" formatCode="&quot;U$ &quot;0.0"/>
    <numFmt numFmtId="182" formatCode="[$USD]\ #,##0.0"/>
    <numFmt numFmtId="183" formatCode="[$USD]\ #,##0;[Red][$USD]\ \-#,##0"/>
    <numFmt numFmtId="184" formatCode="[$USD]\ #,##0"/>
    <numFmt numFmtId="185" formatCode="[$USD]\ #,##0.00;[Red][$USD]\ \-#,##0.00"/>
  </numFmts>
  <fonts count="53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sz val="10"/>
      <name val="Arial"/>
      <family val="2"/>
    </font>
    <font>
      <sz val="10"/>
      <color indexed="16"/>
      <name val="Calibri"/>
      <family val="2"/>
    </font>
    <font>
      <b/>
      <u/>
      <sz val="10"/>
      <name val="Arial"/>
      <family val="2"/>
    </font>
    <font>
      <sz val="11"/>
      <name val="Arial"/>
      <family val="2"/>
    </font>
    <font>
      <b/>
      <u/>
      <sz val="16"/>
      <color indexed="8"/>
      <name val="Calibri"/>
      <family val="2"/>
    </font>
    <font>
      <b/>
      <u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b/>
      <sz val="11"/>
      <name val="Calibri"/>
      <family val="2"/>
    </font>
    <font>
      <b/>
      <sz val="9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strike/>
      <sz val="8"/>
      <name val="Arial"/>
      <family val="2"/>
    </font>
    <font>
      <b/>
      <sz val="16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46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166" fontId="2" fillId="0" borderId="0"/>
    <xf numFmtId="0" fontId="2" fillId="0" borderId="0"/>
    <xf numFmtId="9" fontId="2" fillId="0" borderId="0"/>
    <xf numFmtId="165" fontId="1" fillId="0" borderId="0" applyFill="0" applyBorder="0" applyAlignment="0" applyProtection="0"/>
    <xf numFmtId="166" fontId="2" fillId="0" borderId="0"/>
    <xf numFmtId="165" fontId="1" fillId="0" borderId="0" applyFill="0" applyBorder="0" applyAlignment="0" applyProtection="0"/>
    <xf numFmtId="0" fontId="3" fillId="3" borderId="0" applyNumberFormat="0" applyBorder="0" applyAlignment="0" applyProtection="0"/>
    <xf numFmtId="9" fontId="1" fillId="0" borderId="0" applyFill="0" applyBorder="0" applyAlignment="0" applyProtection="0"/>
    <xf numFmtId="0" fontId="4" fillId="0" borderId="1" applyNumberFormat="0" applyFill="0" applyAlignment="0" applyProtection="0"/>
  </cellStyleXfs>
  <cellXfs count="770">
    <xf numFmtId="0" fontId="0" fillId="0" borderId="0" xfId="0"/>
    <xf numFmtId="0" fontId="2" fillId="0" borderId="0" xfId="2"/>
    <xf numFmtId="166" fontId="2" fillId="0" borderId="0" xfId="1"/>
    <xf numFmtId="0" fontId="6" fillId="0" borderId="0" xfId="2" applyFont="1"/>
    <xf numFmtId="166" fontId="7" fillId="0" borderId="0" xfId="1" applyFont="1" applyAlignment="1">
      <alignment horizontal="center"/>
    </xf>
    <xf numFmtId="0" fontId="6" fillId="0" borderId="0" xfId="2" applyFont="1" applyAlignment="1">
      <alignment horizontal="left"/>
    </xf>
    <xf numFmtId="166" fontId="6" fillId="0" borderId="0" xfId="1" applyFont="1"/>
    <xf numFmtId="0" fontId="7" fillId="0" borderId="0" xfId="2" applyFont="1" applyAlignment="1">
      <alignment horizontal="center"/>
    </xf>
    <xf numFmtId="170" fontId="7" fillId="0" borderId="0" xfId="2" applyNumberFormat="1" applyFont="1" applyAlignment="1">
      <alignment horizontal="center"/>
    </xf>
    <xf numFmtId="171" fontId="7" fillId="0" borderId="0" xfId="2" applyNumberFormat="1" applyFont="1" applyAlignment="1">
      <alignment horizontal="center"/>
    </xf>
    <xf numFmtId="0" fontId="8" fillId="0" borderId="2" xfId="2" applyFont="1" applyBorder="1"/>
    <xf numFmtId="170" fontId="9" fillId="0" borderId="2" xfId="2" applyNumberFormat="1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166" fontId="9" fillId="0" borderId="2" xfId="1" applyFont="1" applyBorder="1" applyAlignment="1">
      <alignment horizontal="center"/>
    </xf>
    <xf numFmtId="171" fontId="9" fillId="0" borderId="2" xfId="2" applyNumberFormat="1" applyFont="1" applyBorder="1" applyAlignment="1">
      <alignment horizontal="center"/>
    </xf>
    <xf numFmtId="0" fontId="6" fillId="0" borderId="2" xfId="2" applyFont="1" applyBorder="1"/>
    <xf numFmtId="0" fontId="9" fillId="0" borderId="0" xfId="2" applyFont="1" applyAlignment="1">
      <alignment horizontal="left"/>
    </xf>
    <xf numFmtId="170" fontId="9" fillId="0" borderId="0" xfId="2" applyNumberFormat="1" applyFont="1" applyAlignment="1">
      <alignment horizontal="right"/>
    </xf>
    <xf numFmtId="0" fontId="9" fillId="0" borderId="0" xfId="2" applyFont="1" applyAlignment="1">
      <alignment horizontal="center"/>
    </xf>
    <xf numFmtId="167" fontId="6" fillId="0" borderId="0" xfId="1" applyNumberFormat="1" applyFont="1"/>
    <xf numFmtId="0" fontId="7" fillId="0" borderId="0" xfId="2" applyFont="1"/>
    <xf numFmtId="167" fontId="8" fillId="2" borderId="0" xfId="1" applyNumberFormat="1" applyFont="1" applyFill="1"/>
    <xf numFmtId="10" fontId="8" fillId="2" borderId="0" xfId="1" applyNumberFormat="1" applyFont="1" applyFill="1"/>
    <xf numFmtId="170" fontId="9" fillId="0" borderId="2" xfId="2" applyNumberFormat="1" applyFont="1" applyBorder="1"/>
    <xf numFmtId="166" fontId="9" fillId="0" borderId="2" xfId="1" applyFont="1" applyBorder="1"/>
    <xf numFmtId="2" fontId="9" fillId="0" borderId="2" xfId="2" applyNumberFormat="1" applyFont="1" applyBorder="1"/>
    <xf numFmtId="0" fontId="8" fillId="0" borderId="0" xfId="2" applyFont="1"/>
    <xf numFmtId="170" fontId="9" fillId="0" borderId="0" xfId="2" applyNumberFormat="1" applyFont="1"/>
    <xf numFmtId="166" fontId="9" fillId="0" borderId="0" xfId="1" applyFont="1"/>
    <xf numFmtId="2" fontId="9" fillId="0" borderId="0" xfId="2" applyNumberFormat="1" applyFont="1"/>
    <xf numFmtId="0" fontId="9" fillId="0" borderId="0" xfId="2" applyFont="1"/>
    <xf numFmtId="167" fontId="9" fillId="0" borderId="0" xfId="1" applyNumberFormat="1" applyFont="1"/>
    <xf numFmtId="169" fontId="8" fillId="2" borderId="0" xfId="1" applyNumberFormat="1" applyFont="1" applyFill="1"/>
    <xf numFmtId="167" fontId="8" fillId="0" borderId="0" xfId="1" applyNumberFormat="1" applyFont="1"/>
    <xf numFmtId="169" fontId="6" fillId="0" borderId="0" xfId="1" applyNumberFormat="1" applyFont="1"/>
    <xf numFmtId="49" fontId="9" fillId="0" borderId="0" xfId="2" applyNumberFormat="1" applyFont="1"/>
    <xf numFmtId="39" fontId="9" fillId="0" borderId="0" xfId="2" applyNumberFormat="1" applyFont="1"/>
    <xf numFmtId="49" fontId="9" fillId="0" borderId="0" xfId="2" applyNumberFormat="1" applyFont="1" applyAlignment="1">
      <alignment horizontal="right"/>
    </xf>
    <xf numFmtId="169" fontId="8" fillId="0" borderId="0" xfId="1" applyNumberFormat="1" applyFont="1"/>
    <xf numFmtId="173" fontId="9" fillId="0" borderId="0" xfId="2" applyNumberFormat="1" applyFont="1" applyAlignment="1">
      <alignment horizontal="center"/>
    </xf>
    <xf numFmtId="0" fontId="9" fillId="4" borderId="3" xfId="2" applyFont="1" applyFill="1" applyBorder="1" applyAlignment="1">
      <alignment horizontal="right"/>
    </xf>
    <xf numFmtId="174" fontId="9" fillId="0" borderId="0" xfId="2" applyNumberFormat="1" applyFont="1" applyAlignment="1">
      <alignment horizontal="center"/>
    </xf>
    <xf numFmtId="169" fontId="6" fillId="2" borderId="0" xfId="1" applyNumberFormat="1" applyFont="1" applyFill="1"/>
    <xf numFmtId="0" fontId="9" fillId="4" borderId="4" xfId="2" applyFont="1" applyFill="1" applyBorder="1" applyAlignment="1">
      <alignment horizontal="center"/>
    </xf>
    <xf numFmtId="0" fontId="9" fillId="4" borderId="2" xfId="2" applyFont="1" applyFill="1" applyBorder="1" applyAlignment="1">
      <alignment horizontal="center"/>
    </xf>
    <xf numFmtId="0" fontId="7" fillId="4" borderId="2" xfId="2" applyFont="1" applyFill="1" applyBorder="1" applyAlignment="1">
      <alignment horizontal="center"/>
    </xf>
    <xf numFmtId="0" fontId="9" fillId="4" borderId="5" xfId="2" applyFont="1" applyFill="1" applyBorder="1" applyAlignment="1">
      <alignment horizontal="center"/>
    </xf>
    <xf numFmtId="2" fontId="9" fillId="4" borderId="6" xfId="2" applyNumberFormat="1" applyFont="1" applyFill="1" applyBorder="1" applyAlignment="1">
      <alignment horizontal="center"/>
    </xf>
    <xf numFmtId="175" fontId="9" fillId="0" borderId="0" xfId="2" applyNumberFormat="1" applyFont="1" applyAlignment="1">
      <alignment horizontal="center"/>
    </xf>
    <xf numFmtId="175" fontId="9" fillId="0" borderId="6" xfId="2" applyNumberFormat="1" applyFont="1" applyBorder="1" applyAlignment="1">
      <alignment horizontal="center"/>
    </xf>
    <xf numFmtId="175" fontId="9" fillId="0" borderId="7" xfId="2" applyNumberFormat="1" applyFont="1" applyBorder="1" applyAlignment="1">
      <alignment horizontal="center"/>
    </xf>
    <xf numFmtId="2" fontId="7" fillId="4" borderId="6" xfId="2" applyNumberFormat="1" applyFont="1" applyFill="1" applyBorder="1" applyAlignment="1">
      <alignment horizontal="center"/>
    </xf>
    <xf numFmtId="175" fontId="9" fillId="0" borderId="8" xfId="2" applyNumberFormat="1" applyFont="1" applyBorder="1" applyAlignment="1">
      <alignment horizontal="center"/>
    </xf>
    <xf numFmtId="175" fontId="9" fillId="0" borderId="9" xfId="2" applyNumberFormat="1" applyFont="1" applyBorder="1" applyAlignment="1">
      <alignment horizontal="center"/>
    </xf>
    <xf numFmtId="175" fontId="7" fillId="0" borderId="10" xfId="2" applyNumberFormat="1" applyFont="1" applyBorder="1" applyAlignment="1">
      <alignment horizontal="center"/>
    </xf>
    <xf numFmtId="175" fontId="9" fillId="0" borderId="11" xfId="2" applyNumberFormat="1" applyFont="1" applyBorder="1" applyAlignment="1">
      <alignment horizontal="center"/>
    </xf>
    <xf numFmtId="175" fontId="0" fillId="0" borderId="0" xfId="0" applyNumberFormat="1" applyAlignment="1">
      <alignment horizontal="center"/>
    </xf>
    <xf numFmtId="175" fontId="0" fillId="0" borderId="6" xfId="0" applyNumberFormat="1" applyBorder="1" applyAlignment="1">
      <alignment horizontal="center"/>
    </xf>
    <xf numFmtId="175" fontId="0" fillId="0" borderId="7" xfId="0" applyNumberFormat="1" applyBorder="1" applyAlignment="1">
      <alignment horizontal="center"/>
    </xf>
    <xf numFmtId="2" fontId="9" fillId="4" borderId="4" xfId="2" applyNumberFormat="1" applyFont="1" applyFill="1" applyBorder="1" applyAlignment="1">
      <alignment horizontal="center"/>
    </xf>
    <xf numFmtId="175" fontId="0" fillId="0" borderId="2" xfId="0" applyNumberFormat="1" applyBorder="1" applyAlignment="1">
      <alignment horizontal="center"/>
    </xf>
    <xf numFmtId="175" fontId="0" fillId="0" borderId="4" xfId="0" applyNumberFormat="1" applyBorder="1" applyAlignment="1">
      <alignment horizontal="center"/>
    </xf>
    <xf numFmtId="175" fontId="0" fillId="0" borderId="5" xfId="0" applyNumberFormat="1" applyBorder="1" applyAlignment="1">
      <alignment horizontal="center"/>
    </xf>
    <xf numFmtId="167" fontId="13" fillId="0" borderId="2" xfId="1" applyNumberFormat="1" applyFont="1" applyBorder="1"/>
    <xf numFmtId="172" fontId="6" fillId="0" borderId="2" xfId="1" applyNumberFormat="1" applyFont="1" applyBorder="1"/>
    <xf numFmtId="167" fontId="6" fillId="0" borderId="2" xfId="1" applyNumberFormat="1" applyFont="1" applyBorder="1"/>
    <xf numFmtId="0" fontId="9" fillId="0" borderId="2" xfId="2" applyFont="1" applyBorder="1"/>
    <xf numFmtId="0" fontId="7" fillId="0" borderId="2" xfId="2" applyFont="1" applyBorder="1" applyAlignment="1">
      <alignment horizontal="center"/>
    </xf>
    <xf numFmtId="169" fontId="8" fillId="0" borderId="2" xfId="1" applyNumberFormat="1" applyFont="1" applyBorder="1"/>
    <xf numFmtId="39" fontId="9" fillId="0" borderId="2" xfId="2" applyNumberFormat="1" applyFont="1" applyBorder="1"/>
    <xf numFmtId="39" fontId="9" fillId="0" borderId="2" xfId="2" applyNumberFormat="1" applyFont="1" applyBorder="1" applyAlignment="1">
      <alignment horizontal="right"/>
    </xf>
    <xf numFmtId="2" fontId="6" fillId="0" borderId="2" xfId="1" applyNumberFormat="1" applyFont="1" applyBorder="1"/>
    <xf numFmtId="0" fontId="9" fillId="0" borderId="9" xfId="2" applyFont="1" applyBorder="1"/>
    <xf numFmtId="170" fontId="9" fillId="0" borderId="9" xfId="2" applyNumberFormat="1" applyFont="1" applyBorder="1"/>
    <xf numFmtId="169" fontId="8" fillId="2" borderId="9" xfId="1" applyNumberFormat="1" applyFont="1" applyFill="1" applyBorder="1"/>
    <xf numFmtId="10" fontId="8" fillId="2" borderId="9" xfId="1" applyNumberFormat="1" applyFont="1" applyFill="1" applyBorder="1"/>
    <xf numFmtId="0" fontId="12" fillId="0" borderId="0" xfId="0" applyFont="1" applyAlignment="1">
      <alignment horizontal="center"/>
    </xf>
    <xf numFmtId="167" fontId="8" fillId="4" borderId="0" xfId="1" applyNumberFormat="1" applyFont="1" applyFill="1"/>
    <xf numFmtId="10" fontId="6" fillId="0" borderId="2" xfId="2" applyNumberFormat="1" applyFont="1" applyBorder="1"/>
    <xf numFmtId="169" fontId="8" fillId="4" borderId="0" xfId="1" applyNumberFormat="1" applyFont="1" applyFill="1"/>
    <xf numFmtId="0" fontId="7" fillId="4" borderId="9" xfId="2" applyFont="1" applyFill="1" applyBorder="1" applyAlignment="1">
      <alignment horizontal="center"/>
    </xf>
    <xf numFmtId="169" fontId="8" fillId="4" borderId="9" xfId="1" applyNumberFormat="1" applyFont="1" applyFill="1" applyBorder="1"/>
    <xf numFmtId="10" fontId="8" fillId="4" borderId="9" xfId="2" applyNumberFormat="1" applyFont="1" applyFill="1" applyBorder="1"/>
    <xf numFmtId="0" fontId="9" fillId="4" borderId="10" xfId="2" applyFont="1" applyFill="1" applyBorder="1" applyAlignment="1">
      <alignment horizontal="center"/>
    </xf>
    <xf numFmtId="0" fontId="9" fillId="4" borderId="9" xfId="2" applyFont="1" applyFill="1" applyBorder="1" applyAlignment="1">
      <alignment horizontal="center"/>
    </xf>
    <xf numFmtId="0" fontId="9" fillId="4" borderId="11" xfId="2" applyFont="1" applyFill="1" applyBorder="1" applyAlignment="1">
      <alignment horizontal="center"/>
    </xf>
    <xf numFmtId="167" fontId="9" fillId="0" borderId="2" xfId="1" applyNumberFormat="1" applyFont="1" applyBorder="1"/>
    <xf numFmtId="170" fontId="9" fillId="0" borderId="0" xfId="2" applyNumberFormat="1" applyFont="1" applyAlignment="1">
      <alignment horizontal="center"/>
    </xf>
    <xf numFmtId="166" fontId="9" fillId="0" borderId="0" xfId="1" applyFont="1" applyAlignment="1">
      <alignment horizontal="center"/>
    </xf>
    <xf numFmtId="171" fontId="9" fillId="0" borderId="0" xfId="2" applyNumberFormat="1" applyFont="1" applyAlignment="1">
      <alignment horizontal="center"/>
    </xf>
    <xf numFmtId="170" fontId="9" fillId="0" borderId="12" xfId="2" applyNumberFormat="1" applyFont="1" applyBorder="1" applyAlignment="1">
      <alignment horizontal="center"/>
    </xf>
    <xf numFmtId="10" fontId="8" fillId="4" borderId="0" xfId="2" applyNumberFormat="1" applyFont="1" applyFill="1"/>
    <xf numFmtId="10" fontId="6" fillId="0" borderId="0" xfId="2" applyNumberFormat="1" applyFont="1"/>
    <xf numFmtId="16" fontId="6" fillId="0" borderId="0" xfId="2" applyNumberFormat="1" applyFont="1"/>
    <xf numFmtId="0" fontId="6" fillId="0" borderId="0" xfId="2" applyFont="1" applyAlignment="1">
      <alignment horizontal="center"/>
    </xf>
    <xf numFmtId="16" fontId="6" fillId="0" borderId="0" xfId="2" applyNumberFormat="1" applyFont="1" applyAlignment="1">
      <alignment horizontal="center"/>
    </xf>
    <xf numFmtId="0" fontId="2" fillId="0" borderId="0" xfId="2" applyAlignment="1">
      <alignment horizontal="center"/>
    </xf>
    <xf numFmtId="167" fontId="13" fillId="0" borderId="0" xfId="1" applyNumberFormat="1" applyFont="1"/>
    <xf numFmtId="167" fontId="6" fillId="0" borderId="0" xfId="2" applyNumberFormat="1" applyFont="1"/>
    <xf numFmtId="0" fontId="14" fillId="0" borderId="0" xfId="0" applyFont="1"/>
    <xf numFmtId="0" fontId="30" fillId="0" borderId="0" xfId="0" applyFont="1"/>
    <xf numFmtId="0" fontId="31" fillId="0" borderId="0" xfId="0" applyFont="1"/>
    <xf numFmtId="0" fontId="15" fillId="0" borderId="0" xfId="0" applyFont="1"/>
    <xf numFmtId="0" fontId="31" fillId="0" borderId="13" xfId="0" applyFont="1" applyBorder="1"/>
    <xf numFmtId="172" fontId="31" fillId="0" borderId="14" xfId="0" applyNumberFormat="1" applyFont="1" applyBorder="1" applyAlignment="1">
      <alignment horizontal="center"/>
    </xf>
    <xf numFmtId="172" fontId="31" fillId="0" borderId="15" xfId="0" applyNumberFormat="1" applyFont="1" applyBorder="1" applyAlignment="1">
      <alignment horizontal="center"/>
    </xf>
    <xf numFmtId="0" fontId="31" fillId="0" borderId="16" xfId="0" applyFont="1" applyBorder="1"/>
    <xf numFmtId="0" fontId="5" fillId="0" borderId="16" xfId="2" applyFont="1" applyBorder="1"/>
    <xf numFmtId="165" fontId="31" fillId="0" borderId="16" xfId="4" applyFont="1" applyBorder="1" applyAlignment="1">
      <alignment horizontal="center"/>
    </xf>
    <xf numFmtId="164" fontId="32" fillId="0" borderId="14" xfId="0" applyNumberFormat="1" applyFont="1" applyBorder="1" applyAlignment="1">
      <alignment horizontal="center"/>
    </xf>
    <xf numFmtId="164" fontId="32" fillId="0" borderId="15" xfId="0" applyNumberFormat="1" applyFont="1" applyBorder="1" applyAlignment="1">
      <alignment horizontal="center"/>
    </xf>
    <xf numFmtId="172" fontId="32" fillId="0" borderId="14" xfId="0" applyNumberFormat="1" applyFont="1" applyBorder="1" applyAlignment="1">
      <alignment horizontal="center"/>
    </xf>
    <xf numFmtId="172" fontId="32" fillId="0" borderId="15" xfId="0" applyNumberFormat="1" applyFont="1" applyBorder="1" applyAlignment="1">
      <alignment horizontal="center"/>
    </xf>
    <xf numFmtId="169" fontId="32" fillId="0" borderId="14" xfId="0" applyNumberFormat="1" applyFont="1" applyBorder="1" applyAlignment="1">
      <alignment horizontal="center"/>
    </xf>
    <xf numFmtId="165" fontId="32" fillId="0" borderId="16" xfId="4" applyFont="1" applyBorder="1" applyAlignment="1">
      <alignment horizontal="center"/>
    </xf>
    <xf numFmtId="165" fontId="32" fillId="0" borderId="13" xfId="4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167" fontId="6" fillId="0" borderId="0" xfId="1" applyNumberFormat="1" applyFont="1" applyAlignment="1">
      <alignment horizontal="center"/>
    </xf>
    <xf numFmtId="0" fontId="33" fillId="5" borderId="17" xfId="0" applyFont="1" applyFill="1" applyBorder="1" applyAlignment="1">
      <alignment horizontal="left"/>
    </xf>
    <xf numFmtId="0" fontId="31" fillId="0" borderId="18" xfId="0" applyFont="1" applyBorder="1"/>
    <xf numFmtId="169" fontId="32" fillId="0" borderId="18" xfId="0" applyNumberFormat="1" applyFont="1" applyBorder="1" applyAlignment="1">
      <alignment horizontal="center"/>
    </xf>
    <xf numFmtId="169" fontId="31" fillId="0" borderId="16" xfId="0" applyNumberFormat="1" applyFont="1" applyBorder="1" applyAlignment="1">
      <alignment horizontal="center"/>
    </xf>
    <xf numFmtId="169" fontId="32" fillId="0" borderId="16" xfId="0" applyNumberFormat="1" applyFont="1" applyBorder="1" applyAlignment="1">
      <alignment horizontal="center"/>
    </xf>
    <xf numFmtId="169" fontId="31" fillId="0" borderId="13" xfId="0" applyNumberFormat="1" applyFont="1" applyBorder="1" applyAlignment="1">
      <alignment horizontal="center"/>
    </xf>
    <xf numFmtId="0" fontId="8" fillId="5" borderId="17" xfId="2" applyFont="1" applyFill="1" applyBorder="1" applyAlignment="1">
      <alignment horizontal="left"/>
    </xf>
    <xf numFmtId="0" fontId="6" fillId="5" borderId="17" xfId="2" applyFont="1" applyFill="1" applyBorder="1" applyAlignment="1">
      <alignment horizontal="center"/>
    </xf>
    <xf numFmtId="0" fontId="8" fillId="5" borderId="2" xfId="2" applyFont="1" applyFill="1" applyBorder="1"/>
    <xf numFmtId="167" fontId="8" fillId="4" borderId="0" xfId="1" applyNumberFormat="1" applyFont="1" applyFill="1" applyAlignment="1">
      <alignment horizontal="center"/>
    </xf>
    <xf numFmtId="0" fontId="8" fillId="0" borderId="0" xfId="2" applyFont="1" applyAlignment="1">
      <alignment horizontal="center"/>
    </xf>
    <xf numFmtId="9" fontId="33" fillId="4" borderId="0" xfId="8" applyFont="1" applyFill="1"/>
    <xf numFmtId="170" fontId="9" fillId="0" borderId="19" xfId="2" applyNumberFormat="1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9" fillId="0" borderId="19" xfId="2" applyFont="1" applyBorder="1" applyAlignment="1">
      <alignment horizontal="center"/>
    </xf>
    <xf numFmtId="173" fontId="9" fillId="0" borderId="19" xfId="2" applyNumberFormat="1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39" fontId="9" fillId="0" borderId="12" xfId="2" applyNumberFormat="1" applyFont="1" applyBorder="1" applyAlignment="1">
      <alignment horizontal="center"/>
    </xf>
    <xf numFmtId="39" fontId="9" fillId="0" borderId="19" xfId="2" applyNumberFormat="1" applyFont="1" applyBorder="1" applyAlignment="1">
      <alignment horizontal="center"/>
    </xf>
    <xf numFmtId="49" fontId="9" fillId="0" borderId="19" xfId="2" applyNumberFormat="1" applyFont="1" applyBorder="1" applyAlignment="1">
      <alignment horizontal="center"/>
    </xf>
    <xf numFmtId="170" fontId="9" fillId="0" borderId="20" xfId="2" applyNumberFormat="1" applyFont="1" applyBorder="1" applyAlignment="1">
      <alignment horizontal="center"/>
    </xf>
    <xf numFmtId="169" fontId="11" fillId="0" borderId="0" xfId="1" applyNumberFormat="1" applyFont="1" applyAlignment="1">
      <alignment horizontal="center"/>
    </xf>
    <xf numFmtId="169" fontId="6" fillId="0" borderId="0" xfId="2" applyNumberFormat="1" applyFont="1" applyAlignment="1">
      <alignment horizontal="center"/>
    </xf>
    <xf numFmtId="167" fontId="8" fillId="2" borderId="0" xfId="1" applyNumberFormat="1" applyFont="1" applyFill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69" fontId="9" fillId="0" borderId="0" xfId="1" applyNumberFormat="1" applyFont="1" applyAlignment="1">
      <alignment horizontal="center"/>
    </xf>
    <xf numFmtId="169" fontId="6" fillId="0" borderId="0" xfId="1" applyNumberFormat="1" applyFont="1" applyAlignment="1">
      <alignment horizontal="center"/>
    </xf>
    <xf numFmtId="0" fontId="6" fillId="0" borderId="2" xfId="2" applyFont="1" applyBorder="1" applyAlignment="1">
      <alignment horizontal="center"/>
    </xf>
    <xf numFmtId="169" fontId="6" fillId="0" borderId="2" xfId="2" applyNumberFormat="1" applyFont="1" applyBorder="1" applyAlignment="1">
      <alignment horizontal="center"/>
    </xf>
    <xf numFmtId="2" fontId="10" fillId="0" borderId="0" xfId="1" applyNumberFormat="1" applyFont="1" applyAlignment="1">
      <alignment horizontal="center"/>
    </xf>
    <xf numFmtId="2" fontId="9" fillId="0" borderId="0" xfId="2" applyNumberFormat="1" applyFont="1" applyAlignment="1">
      <alignment horizontal="left"/>
    </xf>
    <xf numFmtId="0" fontId="9" fillId="0" borderId="0" xfId="2" applyFont="1" applyAlignment="1">
      <alignment horizontal="right"/>
    </xf>
    <xf numFmtId="2" fontId="9" fillId="0" borderId="21" xfId="2" applyNumberFormat="1" applyFont="1" applyBorder="1" applyAlignment="1">
      <alignment horizontal="center"/>
    </xf>
    <xf numFmtId="2" fontId="7" fillId="0" borderId="21" xfId="2" applyNumberFormat="1" applyFont="1" applyBorder="1" applyAlignment="1">
      <alignment horizontal="center"/>
    </xf>
    <xf numFmtId="2" fontId="9" fillId="0" borderId="22" xfId="2" applyNumberFormat="1" applyFont="1" applyBorder="1" applyAlignment="1">
      <alignment horizontal="center"/>
    </xf>
    <xf numFmtId="180" fontId="34" fillId="0" borderId="23" xfId="8" applyNumberFormat="1" applyFont="1" applyBorder="1" applyAlignment="1">
      <alignment horizontal="center"/>
    </xf>
    <xf numFmtId="180" fontId="11" fillId="0" borderId="0" xfId="3" applyNumberFormat="1" applyFont="1" applyAlignment="1">
      <alignment horizontal="center"/>
    </xf>
    <xf numFmtId="169" fontId="8" fillId="4" borderId="0" xfId="1" applyNumberFormat="1" applyFont="1" applyFill="1" applyAlignment="1">
      <alignment horizontal="center"/>
    </xf>
    <xf numFmtId="10" fontId="8" fillId="4" borderId="0" xfId="2" applyNumberFormat="1" applyFont="1" applyFill="1" applyAlignment="1">
      <alignment horizontal="center"/>
    </xf>
    <xf numFmtId="10" fontId="8" fillId="2" borderId="0" xfId="1" applyNumberFormat="1" applyFont="1" applyFill="1" applyAlignment="1">
      <alignment horizontal="center"/>
    </xf>
    <xf numFmtId="168" fontId="6" fillId="0" borderId="0" xfId="1" applyNumberFormat="1" applyFont="1" applyAlignment="1">
      <alignment horizontal="center"/>
    </xf>
    <xf numFmtId="167" fontId="9" fillId="0" borderId="0" xfId="1" applyNumberFormat="1" applyFont="1" applyAlignment="1">
      <alignment horizontal="center"/>
    </xf>
    <xf numFmtId="169" fontId="9" fillId="0" borderId="0" xfId="2" applyNumberFormat="1" applyFont="1" applyAlignment="1">
      <alignment horizontal="center"/>
    </xf>
    <xf numFmtId="170" fontId="35" fillId="0" borderId="19" xfId="2" applyNumberFormat="1" applyFont="1" applyBorder="1" applyAlignment="1">
      <alignment horizontal="center"/>
    </xf>
    <xf numFmtId="4" fontId="35" fillId="0" borderId="19" xfId="2" applyNumberFormat="1" applyFont="1" applyBorder="1" applyAlignment="1">
      <alignment horizontal="center"/>
    </xf>
    <xf numFmtId="173" fontId="35" fillId="0" borderId="19" xfId="2" applyNumberFormat="1" applyFont="1" applyBorder="1" applyAlignment="1">
      <alignment horizontal="center"/>
    </xf>
    <xf numFmtId="39" fontId="35" fillId="0" borderId="12" xfId="2" applyNumberFormat="1" applyFont="1" applyBorder="1" applyAlignment="1">
      <alignment horizontal="center"/>
    </xf>
    <xf numFmtId="39" fontId="35" fillId="0" borderId="19" xfId="2" applyNumberFormat="1" applyFont="1" applyBorder="1" applyAlignment="1">
      <alignment horizontal="center"/>
    </xf>
    <xf numFmtId="0" fontId="35" fillId="0" borderId="12" xfId="2" applyFont="1" applyBorder="1" applyAlignment="1">
      <alignment horizontal="center"/>
    </xf>
    <xf numFmtId="170" fontId="35" fillId="0" borderId="0" xfId="2" applyNumberFormat="1" applyFont="1" applyAlignment="1">
      <alignment horizontal="center"/>
    </xf>
    <xf numFmtId="173" fontId="35" fillId="0" borderId="0" xfId="2" applyNumberFormat="1" applyFont="1" applyAlignment="1">
      <alignment horizontal="center"/>
    </xf>
    <xf numFmtId="4" fontId="35" fillId="0" borderId="0" xfId="2" applyNumberFormat="1" applyFont="1" applyAlignment="1">
      <alignment horizontal="center"/>
    </xf>
    <xf numFmtId="2" fontId="9" fillId="0" borderId="2" xfId="2" applyNumberFormat="1" applyFont="1" applyBorder="1" applyAlignment="1">
      <alignment horizontal="center"/>
    </xf>
    <xf numFmtId="167" fontId="9" fillId="0" borderId="2" xfId="1" applyNumberFormat="1" applyFont="1" applyBorder="1" applyAlignment="1">
      <alignment horizontal="center"/>
    </xf>
    <xf numFmtId="167" fontId="6" fillId="0" borderId="2" xfId="1" applyNumberFormat="1" applyFont="1" applyBorder="1" applyAlignment="1">
      <alignment horizontal="center"/>
    </xf>
    <xf numFmtId="172" fontId="6" fillId="0" borderId="2" xfId="1" applyNumberFormat="1" applyFont="1" applyBorder="1" applyAlignment="1">
      <alignment horizontal="center"/>
    </xf>
    <xf numFmtId="169" fontId="8" fillId="2" borderId="0" xfId="1" applyNumberFormat="1" applyFont="1" applyFill="1" applyAlignment="1">
      <alignment horizontal="center"/>
    </xf>
    <xf numFmtId="169" fontId="9" fillId="0" borderId="2" xfId="1" applyNumberFormat="1" applyFont="1" applyBorder="1" applyAlignment="1">
      <alignment horizontal="center"/>
    </xf>
    <xf numFmtId="169" fontId="9" fillId="0" borderId="2" xfId="2" applyNumberFormat="1" applyFont="1" applyBorder="1" applyAlignment="1">
      <alignment horizontal="center"/>
    </xf>
    <xf numFmtId="167" fontId="6" fillId="6" borderId="0" xfId="1" applyNumberFormat="1" applyFont="1" applyFill="1" applyAlignment="1">
      <alignment horizontal="center"/>
    </xf>
    <xf numFmtId="39" fontId="9" fillId="0" borderId="0" xfId="2" applyNumberFormat="1" applyFont="1" applyAlignment="1">
      <alignment horizontal="center"/>
    </xf>
    <xf numFmtId="39" fontId="35" fillId="0" borderId="0" xfId="2" applyNumberFormat="1" applyFont="1" applyAlignment="1">
      <alignment horizontal="center"/>
    </xf>
    <xf numFmtId="170" fontId="35" fillId="0" borderId="2" xfId="2" applyNumberFormat="1" applyFont="1" applyBorder="1" applyAlignment="1">
      <alignment horizontal="center"/>
    </xf>
    <xf numFmtId="167" fontId="8" fillId="0" borderId="0" xfId="1" applyNumberFormat="1" applyFont="1" applyAlignment="1">
      <alignment horizontal="center"/>
    </xf>
    <xf numFmtId="2" fontId="36" fillId="0" borderId="0" xfId="8" applyNumberFormat="1" applyFont="1" applyAlignment="1">
      <alignment horizontal="center"/>
    </xf>
    <xf numFmtId="167" fontId="8" fillId="7" borderId="0" xfId="1" applyNumberFormat="1" applyFont="1" applyFill="1"/>
    <xf numFmtId="166" fontId="9" fillId="8" borderId="0" xfId="1" applyFont="1" applyFill="1"/>
    <xf numFmtId="0" fontId="9" fillId="8" borderId="0" xfId="2" applyFont="1" applyFill="1"/>
    <xf numFmtId="0" fontId="6" fillId="8" borderId="0" xfId="2" applyFont="1" applyFill="1"/>
    <xf numFmtId="0" fontId="7" fillId="4" borderId="24" xfId="2" applyFont="1" applyFill="1" applyBorder="1" applyAlignment="1">
      <alignment horizontal="right"/>
    </xf>
    <xf numFmtId="0" fontId="9" fillId="4" borderId="25" xfId="2" applyFont="1" applyFill="1" applyBorder="1" applyAlignment="1">
      <alignment horizontal="right"/>
    </xf>
    <xf numFmtId="0" fontId="7" fillId="4" borderId="25" xfId="2" applyFont="1" applyFill="1" applyBorder="1" applyAlignment="1">
      <alignment horizontal="right"/>
    </xf>
    <xf numFmtId="0" fontId="7" fillId="4" borderId="26" xfId="2" applyFont="1" applyFill="1" applyBorder="1" applyAlignment="1">
      <alignment horizontal="right"/>
    </xf>
    <xf numFmtId="0" fontId="9" fillId="4" borderId="24" xfId="2" applyFont="1" applyFill="1" applyBorder="1" applyAlignment="1">
      <alignment horizontal="right"/>
    </xf>
    <xf numFmtId="0" fontId="9" fillId="0" borderId="27" xfId="2" applyFont="1" applyBorder="1" applyAlignment="1">
      <alignment horizontal="center"/>
    </xf>
    <xf numFmtId="169" fontId="9" fillId="0" borderId="28" xfId="1" applyNumberFormat="1" applyFont="1" applyBorder="1" applyAlignment="1">
      <alignment horizontal="center"/>
    </xf>
    <xf numFmtId="2" fontId="9" fillId="0" borderId="29" xfId="2" applyNumberFormat="1" applyFont="1" applyBorder="1" applyAlignment="1">
      <alignment horizontal="center"/>
    </xf>
    <xf numFmtId="2" fontId="7" fillId="0" borderId="29" xfId="2" applyNumberFormat="1" applyFont="1" applyBorder="1" applyAlignment="1">
      <alignment horizontal="center"/>
    </xf>
    <xf numFmtId="180" fontId="11" fillId="0" borderId="28" xfId="3" applyNumberFormat="1" applyFont="1" applyBorder="1" applyAlignment="1">
      <alignment horizontal="center"/>
    </xf>
    <xf numFmtId="2" fontId="9" fillId="0" borderId="30" xfId="2" applyNumberFormat="1" applyFont="1" applyBorder="1" applyAlignment="1">
      <alignment horizontal="center"/>
    </xf>
    <xf numFmtId="169" fontId="9" fillId="0" borderId="28" xfId="1" applyNumberFormat="1" applyFont="1" applyBorder="1"/>
    <xf numFmtId="169" fontId="7" fillId="0" borderId="28" xfId="1" applyNumberFormat="1" applyFont="1" applyBorder="1"/>
    <xf numFmtId="2" fontId="7" fillId="0" borderId="28" xfId="1" applyNumberFormat="1" applyFont="1" applyBorder="1" applyAlignment="1">
      <alignment horizontal="center"/>
    </xf>
    <xf numFmtId="169" fontId="7" fillId="0" borderId="28" xfId="3" applyNumberFormat="1" applyFont="1" applyBorder="1" applyAlignment="1">
      <alignment horizontal="center"/>
    </xf>
    <xf numFmtId="9" fontId="34" fillId="0" borderId="31" xfId="8" applyFont="1" applyBorder="1" applyAlignment="1">
      <alignment horizontal="center"/>
    </xf>
    <xf numFmtId="0" fontId="8" fillId="8" borderId="0" xfId="2" applyFont="1" applyFill="1" applyAlignment="1">
      <alignment horizontal="left"/>
    </xf>
    <xf numFmtId="0" fontId="6" fillId="8" borderId="0" xfId="2" applyFont="1" applyFill="1" applyAlignment="1">
      <alignment horizontal="center"/>
    </xf>
    <xf numFmtId="0" fontId="7" fillId="0" borderId="14" xfId="2" applyFont="1" applyBorder="1" applyAlignment="1">
      <alignment horizontal="center"/>
    </xf>
    <xf numFmtId="0" fontId="8" fillId="5" borderId="32" xfId="2" applyFont="1" applyFill="1" applyBorder="1"/>
    <xf numFmtId="0" fontId="9" fillId="0" borderId="14" xfId="2" applyFont="1" applyBorder="1" applyAlignment="1">
      <alignment horizontal="left"/>
    </xf>
    <xf numFmtId="0" fontId="6" fillId="0" borderId="14" xfId="2" applyFont="1" applyBorder="1"/>
    <xf numFmtId="0" fontId="8" fillId="0" borderId="14" xfId="2" applyFont="1" applyBorder="1"/>
    <xf numFmtId="0" fontId="9" fillId="0" borderId="14" xfId="2" applyFont="1" applyBorder="1"/>
    <xf numFmtId="49" fontId="9" fillId="0" borderId="14" xfId="2" applyNumberFormat="1" applyFont="1" applyBorder="1"/>
    <xf numFmtId="39" fontId="9" fillId="0" borderId="2" xfId="2" applyNumberFormat="1" applyFont="1" applyBorder="1" applyAlignment="1">
      <alignment horizontal="center"/>
    </xf>
    <xf numFmtId="49" fontId="9" fillId="0" borderId="0" xfId="2" applyNumberFormat="1" applyFont="1" applyAlignment="1">
      <alignment horizontal="center"/>
    </xf>
    <xf numFmtId="172" fontId="6" fillId="0" borderId="0" xfId="1" applyNumberFormat="1" applyFont="1" applyAlignment="1">
      <alignment horizontal="center"/>
    </xf>
    <xf numFmtId="2" fontId="9" fillId="0" borderId="0" xfId="2" applyNumberFormat="1" applyFont="1" applyAlignment="1">
      <alignment horizontal="center"/>
    </xf>
    <xf numFmtId="2" fontId="6" fillId="0" borderId="2" xfId="1" applyNumberFormat="1" applyFont="1" applyBorder="1" applyAlignment="1">
      <alignment horizontal="center"/>
    </xf>
    <xf numFmtId="0" fontId="6" fillId="0" borderId="0" xfId="2" applyFont="1" applyAlignment="1">
      <alignment horizontal="right"/>
    </xf>
    <xf numFmtId="169" fontId="8" fillId="2" borderId="9" xfId="1" applyNumberFormat="1" applyFont="1" applyFill="1" applyBorder="1" applyAlignment="1">
      <alignment horizontal="center"/>
    </xf>
    <xf numFmtId="0" fontId="5" fillId="0" borderId="16" xfId="2" applyFont="1" applyBorder="1" applyAlignment="1">
      <alignment horizontal="left"/>
    </xf>
    <xf numFmtId="179" fontId="31" fillId="0" borderId="17" xfId="0" applyNumberFormat="1" applyFont="1" applyBorder="1" applyAlignment="1">
      <alignment horizontal="center"/>
    </xf>
    <xf numFmtId="178" fontId="31" fillId="0" borderId="17" xfId="0" applyNumberFormat="1" applyFont="1" applyBorder="1" applyAlignment="1">
      <alignment horizontal="center"/>
    </xf>
    <xf numFmtId="0" fontId="9" fillId="0" borderId="33" xfId="2" applyFont="1" applyBorder="1"/>
    <xf numFmtId="0" fontId="9" fillId="0" borderId="14" xfId="2" applyFont="1" applyBorder="1" applyAlignment="1">
      <alignment horizontal="center"/>
    </xf>
    <xf numFmtId="170" fontId="9" fillId="0" borderId="9" xfId="2" applyNumberFormat="1" applyFont="1" applyBorder="1" applyAlignment="1">
      <alignment horizontal="center"/>
    </xf>
    <xf numFmtId="169" fontId="8" fillId="0" borderId="0" xfId="1" applyNumberFormat="1" applyFont="1" applyAlignment="1">
      <alignment horizontal="center"/>
    </xf>
    <xf numFmtId="10" fontId="8" fillId="2" borderId="9" xfId="1" applyNumberFormat="1" applyFont="1" applyFill="1" applyBorder="1" applyAlignment="1">
      <alignment horizontal="center"/>
    </xf>
    <xf numFmtId="2" fontId="35" fillId="0" borderId="0" xfId="2" applyNumberFormat="1" applyFont="1" applyAlignment="1">
      <alignment horizontal="center"/>
    </xf>
    <xf numFmtId="169" fontId="8" fillId="0" borderId="2" xfId="1" applyNumberFormat="1" applyFont="1" applyBorder="1" applyAlignment="1">
      <alignment horizontal="center"/>
    </xf>
    <xf numFmtId="0" fontId="35" fillId="0" borderId="2" xfId="2" applyFont="1" applyBorder="1" applyAlignment="1">
      <alignment horizontal="center"/>
    </xf>
    <xf numFmtId="0" fontId="37" fillId="0" borderId="2" xfId="2" applyFont="1" applyBorder="1" applyAlignment="1">
      <alignment horizontal="center"/>
    </xf>
    <xf numFmtId="39" fontId="35" fillId="0" borderId="2" xfId="2" applyNumberFormat="1" applyFont="1" applyBorder="1" applyAlignment="1">
      <alignment horizontal="center"/>
    </xf>
    <xf numFmtId="176" fontId="36" fillId="0" borderId="28" xfId="8" applyNumberFormat="1" applyFont="1" applyBorder="1" applyAlignment="1">
      <alignment horizontal="center"/>
    </xf>
    <xf numFmtId="170" fontId="9" fillId="8" borderId="0" xfId="2" applyNumberFormat="1" applyFont="1" applyFill="1" applyAlignment="1">
      <alignment horizontal="right"/>
    </xf>
    <xf numFmtId="10" fontId="8" fillId="2" borderId="34" xfId="1" applyNumberFormat="1" applyFont="1" applyFill="1" applyBorder="1" applyAlignment="1">
      <alignment horizontal="center"/>
    </xf>
    <xf numFmtId="2" fontId="6" fillId="0" borderId="0" xfId="1" applyNumberFormat="1" applyFont="1" applyAlignment="1">
      <alignment horizontal="center"/>
    </xf>
    <xf numFmtId="0" fontId="8" fillId="0" borderId="32" xfId="2" applyFont="1" applyBorder="1"/>
    <xf numFmtId="167" fontId="8" fillId="7" borderId="0" xfId="1" applyNumberFormat="1" applyFont="1" applyFill="1" applyAlignment="1">
      <alignment horizontal="center"/>
    </xf>
    <xf numFmtId="0" fontId="9" fillId="4" borderId="35" xfId="2" applyFont="1" applyFill="1" applyBorder="1" applyAlignment="1">
      <alignment horizontal="right"/>
    </xf>
    <xf numFmtId="0" fontId="9" fillId="4" borderId="28" xfId="2" applyFont="1" applyFill="1" applyBorder="1" applyAlignment="1">
      <alignment horizontal="right"/>
    </xf>
    <xf numFmtId="0" fontId="7" fillId="4" borderId="28" xfId="2" applyFont="1" applyFill="1" applyBorder="1" applyAlignment="1">
      <alignment horizontal="right"/>
    </xf>
    <xf numFmtId="0" fontId="7" fillId="4" borderId="31" xfId="2" applyFont="1" applyFill="1" applyBorder="1" applyAlignment="1">
      <alignment horizontal="right"/>
    </xf>
    <xf numFmtId="169" fontId="7" fillId="0" borderId="28" xfId="1" applyNumberFormat="1" applyFont="1" applyBorder="1" applyAlignment="1">
      <alignment horizontal="center"/>
    </xf>
    <xf numFmtId="10" fontId="37" fillId="0" borderId="28" xfId="3" applyNumberFormat="1" applyFont="1" applyBorder="1" applyAlignment="1">
      <alignment horizontal="center"/>
    </xf>
    <xf numFmtId="176" fontId="7" fillId="0" borderId="28" xfId="3" applyNumberFormat="1" applyFont="1" applyBorder="1" applyAlignment="1">
      <alignment horizontal="center"/>
    </xf>
    <xf numFmtId="2" fontId="7" fillId="0" borderId="28" xfId="3" applyNumberFormat="1" applyFont="1" applyBorder="1" applyAlignment="1">
      <alignment horizontal="center"/>
    </xf>
    <xf numFmtId="10" fontId="37" fillId="0" borderId="31" xfId="1" applyNumberFormat="1" applyFont="1" applyBorder="1" applyAlignment="1">
      <alignment horizontal="center"/>
    </xf>
    <xf numFmtId="179" fontId="31" fillId="0" borderId="0" xfId="0" applyNumberFormat="1" applyFont="1"/>
    <xf numFmtId="0" fontId="5" fillId="0" borderId="19" xfId="2" applyFont="1" applyBorder="1"/>
    <xf numFmtId="169" fontId="32" fillId="0" borderId="19" xfId="0" applyNumberFormat="1" applyFont="1" applyBorder="1" applyAlignment="1">
      <alignment horizontal="center"/>
    </xf>
    <xf numFmtId="165" fontId="32" fillId="9" borderId="16" xfId="4" applyFont="1" applyFill="1" applyBorder="1" applyAlignment="1">
      <alignment horizontal="center"/>
    </xf>
    <xf numFmtId="169" fontId="32" fillId="9" borderId="14" xfId="0" applyNumberFormat="1" applyFont="1" applyFill="1" applyBorder="1" applyAlignment="1">
      <alignment horizontal="center"/>
    </xf>
    <xf numFmtId="169" fontId="35" fillId="0" borderId="2" xfId="1" applyNumberFormat="1" applyFont="1" applyBorder="1" applyAlignment="1">
      <alignment horizontal="center"/>
    </xf>
    <xf numFmtId="169" fontId="9" fillId="8" borderId="2" xfId="1" applyNumberFormat="1" applyFont="1" applyFill="1" applyBorder="1" applyAlignment="1">
      <alignment horizontal="center"/>
    </xf>
    <xf numFmtId="169" fontId="35" fillId="8" borderId="2" xfId="1" applyNumberFormat="1" applyFont="1" applyFill="1" applyBorder="1" applyAlignment="1">
      <alignment horizontal="center"/>
    </xf>
    <xf numFmtId="167" fontId="9" fillId="8" borderId="2" xfId="1" applyNumberFormat="1" applyFont="1" applyFill="1" applyBorder="1" applyAlignment="1">
      <alignment horizontal="center"/>
    </xf>
    <xf numFmtId="166" fontId="35" fillId="0" borderId="2" xfId="1" applyFont="1" applyBorder="1" applyAlignment="1">
      <alignment horizontal="center"/>
    </xf>
    <xf numFmtId="167" fontId="6" fillId="8" borderId="0" xfId="1" applyNumberFormat="1" applyFont="1" applyFill="1" applyAlignment="1">
      <alignment horizontal="center"/>
    </xf>
    <xf numFmtId="179" fontId="9" fillId="0" borderId="2" xfId="2" applyNumberFormat="1" applyFont="1" applyBorder="1" applyAlignment="1">
      <alignment horizontal="center"/>
    </xf>
    <xf numFmtId="179" fontId="36" fillId="0" borderId="0" xfId="0" applyNumberFormat="1" applyFont="1"/>
    <xf numFmtId="0" fontId="38" fillId="0" borderId="0" xfId="2" applyFont="1"/>
    <xf numFmtId="0" fontId="36" fillId="0" borderId="0" xfId="0" applyFont="1"/>
    <xf numFmtId="179" fontId="36" fillId="0" borderId="0" xfId="0" applyNumberFormat="1" applyFont="1" applyAlignment="1">
      <alignment horizontal="center"/>
    </xf>
    <xf numFmtId="0" fontId="35" fillId="0" borderId="35" xfId="2" applyFont="1" applyBorder="1" applyAlignment="1">
      <alignment horizontal="center"/>
    </xf>
    <xf numFmtId="166" fontId="35" fillId="0" borderId="2" xfId="1" applyFont="1" applyBorder="1"/>
    <xf numFmtId="169" fontId="7" fillId="0" borderId="0" xfId="1" applyNumberFormat="1" applyFont="1" applyAlignment="1">
      <alignment horizontal="center"/>
    </xf>
    <xf numFmtId="10" fontId="7" fillId="0" borderId="0" xfId="3" applyNumberFormat="1" applyFont="1" applyAlignment="1">
      <alignment horizontal="center"/>
    </xf>
    <xf numFmtId="176" fontId="9" fillId="0" borderId="0" xfId="3" applyNumberFormat="1" applyFont="1" applyAlignment="1">
      <alignment horizontal="center"/>
    </xf>
    <xf numFmtId="181" fontId="7" fillId="0" borderId="0" xfId="3" applyNumberFormat="1" applyFont="1" applyAlignment="1">
      <alignment horizontal="center"/>
    </xf>
    <xf numFmtId="10" fontId="7" fillId="0" borderId="28" xfId="3" applyNumberFormat="1" applyFont="1" applyBorder="1" applyAlignment="1">
      <alignment horizontal="center"/>
    </xf>
    <xf numFmtId="10" fontId="7" fillId="0" borderId="31" xfId="1" applyNumberFormat="1" applyFont="1" applyBorder="1" applyAlignment="1">
      <alignment horizontal="center"/>
    </xf>
    <xf numFmtId="180" fontId="7" fillId="0" borderId="28" xfId="3" applyNumberFormat="1" applyFont="1" applyBorder="1" applyAlignment="1">
      <alignment horizontal="center"/>
    </xf>
    <xf numFmtId="180" fontId="39" fillId="0" borderId="31" xfId="8" applyNumberFormat="1" applyFont="1" applyBorder="1" applyAlignment="1">
      <alignment horizontal="center"/>
    </xf>
    <xf numFmtId="179" fontId="31" fillId="0" borderId="0" xfId="0" applyNumberFormat="1" applyFont="1" applyAlignment="1">
      <alignment horizontal="center"/>
    </xf>
    <xf numFmtId="176" fontId="6" fillId="0" borderId="0" xfId="1" applyNumberFormat="1" applyFont="1" applyAlignment="1">
      <alignment horizontal="center"/>
    </xf>
    <xf numFmtId="10" fontId="36" fillId="0" borderId="28" xfId="8" applyNumberFormat="1" applyFont="1" applyBorder="1" applyAlignment="1">
      <alignment horizontal="center"/>
    </xf>
    <xf numFmtId="2" fontId="9" fillId="0" borderId="28" xfId="3" applyNumberFormat="1" applyFont="1" applyBorder="1" applyAlignment="1">
      <alignment horizontal="center"/>
    </xf>
    <xf numFmtId="10" fontId="9" fillId="0" borderId="31" xfId="3" applyNumberFormat="1" applyFont="1" applyBorder="1" applyAlignment="1">
      <alignment horizontal="center"/>
    </xf>
    <xf numFmtId="17" fontId="39" fillId="6" borderId="36" xfId="0" applyNumberFormat="1" applyFont="1" applyFill="1" applyBorder="1" applyAlignment="1">
      <alignment horizontal="center"/>
    </xf>
    <xf numFmtId="2" fontId="40" fillId="0" borderId="12" xfId="8" applyNumberFormat="1" applyFont="1" applyBorder="1" applyAlignment="1">
      <alignment horizontal="center"/>
    </xf>
    <xf numFmtId="176" fontId="9" fillId="0" borderId="28" xfId="3" applyNumberFormat="1" applyFont="1" applyBorder="1" applyAlignment="1">
      <alignment horizontal="center"/>
    </xf>
    <xf numFmtId="0" fontId="18" fillId="0" borderId="0" xfId="0" applyFont="1"/>
    <xf numFmtId="2" fontId="18" fillId="0" borderId="0" xfId="0" applyNumberFormat="1" applyFont="1"/>
    <xf numFmtId="0" fontId="41" fillId="5" borderId="17" xfId="0" applyFont="1" applyFill="1" applyBorder="1"/>
    <xf numFmtId="0" fontId="42" fillId="5" borderId="13" xfId="0" applyFont="1" applyFill="1" applyBorder="1" applyAlignment="1">
      <alignment horizontal="center"/>
    </xf>
    <xf numFmtId="2" fontId="42" fillId="5" borderId="13" xfId="0" applyNumberFormat="1" applyFont="1" applyFill="1" applyBorder="1" applyAlignment="1">
      <alignment horizontal="center"/>
    </xf>
    <xf numFmtId="2" fontId="42" fillId="5" borderId="17" xfId="0" applyNumberFormat="1" applyFont="1" applyFill="1" applyBorder="1" applyAlignment="1">
      <alignment horizontal="center"/>
    </xf>
    <xf numFmtId="0" fontId="42" fillId="5" borderId="17" xfId="0" applyFont="1" applyFill="1" applyBorder="1" applyAlignment="1">
      <alignment horizontal="center"/>
    </xf>
    <xf numFmtId="0" fontId="43" fillId="10" borderId="17" xfId="0" applyFont="1" applyFill="1" applyBorder="1" applyAlignment="1">
      <alignment horizontal="center"/>
    </xf>
    <xf numFmtId="2" fontId="41" fillId="10" borderId="17" xfId="0" applyNumberFormat="1" applyFont="1" applyFill="1" applyBorder="1" applyAlignment="1">
      <alignment horizontal="center"/>
    </xf>
    <xf numFmtId="179" fontId="43" fillId="10" borderId="17" xfId="0" applyNumberFormat="1" applyFont="1" applyFill="1" applyBorder="1" applyAlignment="1">
      <alignment horizontal="center"/>
    </xf>
    <xf numFmtId="179" fontId="41" fillId="10" borderId="17" xfId="0" applyNumberFormat="1" applyFont="1" applyFill="1" applyBorder="1" applyAlignment="1">
      <alignment horizontal="center"/>
    </xf>
    <xf numFmtId="180" fontId="41" fillId="10" borderId="17" xfId="8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2" fontId="41" fillId="0" borderId="17" xfId="0" applyNumberFormat="1" applyFont="1" applyBorder="1" applyAlignment="1">
      <alignment horizontal="center"/>
    </xf>
    <xf numFmtId="179" fontId="43" fillId="0" borderId="17" xfId="0" applyNumberFormat="1" applyFont="1" applyBorder="1" applyAlignment="1">
      <alignment horizontal="center"/>
    </xf>
    <xf numFmtId="179" fontId="41" fillId="0" borderId="17" xfId="0" applyNumberFormat="1" applyFont="1" applyBorder="1" applyAlignment="1">
      <alignment horizontal="center"/>
    </xf>
    <xf numFmtId="180" fontId="41" fillId="0" borderId="17" xfId="8" applyNumberFormat="1" applyFont="1" applyBorder="1" applyAlignment="1">
      <alignment horizontal="center"/>
    </xf>
    <xf numFmtId="0" fontId="42" fillId="10" borderId="17" xfId="0" applyFont="1" applyFill="1" applyBorder="1" applyAlignment="1">
      <alignment horizontal="left"/>
    </xf>
    <xf numFmtId="0" fontId="42" fillId="6" borderId="17" xfId="0" applyFont="1" applyFill="1" applyBorder="1" applyAlignment="1">
      <alignment horizontal="center"/>
    </xf>
    <xf numFmtId="2" fontId="42" fillId="6" borderId="17" xfId="0" applyNumberFormat="1" applyFont="1" applyFill="1" applyBorder="1" applyAlignment="1">
      <alignment horizontal="center"/>
    </xf>
    <xf numFmtId="179" fontId="42" fillId="6" borderId="17" xfId="0" applyNumberFormat="1" applyFont="1" applyFill="1" applyBorder="1" applyAlignment="1">
      <alignment horizontal="center"/>
    </xf>
    <xf numFmtId="180" fontId="42" fillId="6" borderId="17" xfId="8" applyNumberFormat="1" applyFont="1" applyFill="1" applyBorder="1" applyAlignment="1">
      <alignment horizontal="center"/>
    </xf>
    <xf numFmtId="0" fontId="41" fillId="0" borderId="0" xfId="0" applyFont="1"/>
    <xf numFmtId="179" fontId="41" fillId="0" borderId="0" xfId="0" applyNumberFormat="1" applyFont="1"/>
    <xf numFmtId="10" fontId="41" fillId="0" borderId="17" xfId="8" applyNumberFormat="1" applyFont="1" applyBorder="1" applyAlignment="1">
      <alignment horizontal="center"/>
    </xf>
    <xf numFmtId="10" fontId="41" fillId="0" borderId="17" xfId="0" applyNumberFormat="1" applyFont="1" applyBorder="1" applyAlignment="1">
      <alignment horizontal="center"/>
    </xf>
    <xf numFmtId="10" fontId="41" fillId="10" borderId="17" xfId="8" applyNumberFormat="1" applyFont="1" applyFill="1" applyBorder="1" applyAlignment="1">
      <alignment horizontal="center"/>
    </xf>
    <xf numFmtId="182" fontId="43" fillId="0" borderId="17" xfId="0" applyNumberFormat="1" applyFont="1" applyBorder="1" applyAlignment="1">
      <alignment horizontal="center"/>
    </xf>
    <xf numFmtId="181" fontId="41" fillId="0" borderId="17" xfId="0" applyNumberFormat="1" applyFont="1" applyBorder="1" applyAlignment="1">
      <alignment horizontal="center"/>
    </xf>
    <xf numFmtId="0" fontId="41" fillId="10" borderId="17" xfId="0" applyFont="1" applyFill="1" applyBorder="1" applyAlignment="1">
      <alignment horizontal="center"/>
    </xf>
    <xf numFmtId="0" fontId="41" fillId="10" borderId="17" xfId="8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2" fontId="42" fillId="0" borderId="0" xfId="0" applyNumberFormat="1" applyFont="1" applyAlignment="1">
      <alignment horizontal="center"/>
    </xf>
    <xf numFmtId="179" fontId="42" fillId="0" borderId="0" xfId="0" applyNumberFormat="1" applyFont="1" applyAlignment="1">
      <alignment horizontal="center"/>
    </xf>
    <xf numFmtId="180" fontId="42" fillId="0" borderId="0" xfId="8" applyNumberFormat="1" applyFont="1" applyAlignment="1">
      <alignment horizontal="center"/>
    </xf>
    <xf numFmtId="182" fontId="42" fillId="0" borderId="0" xfId="8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0" fontId="42" fillId="0" borderId="0" xfId="0" applyNumberFormat="1" applyFont="1" applyAlignment="1">
      <alignment horizontal="center"/>
    </xf>
    <xf numFmtId="10" fontId="41" fillId="0" borderId="0" xfId="0" applyNumberFormat="1" applyFont="1" applyAlignment="1">
      <alignment horizontal="center"/>
    </xf>
    <xf numFmtId="0" fontId="43" fillId="8" borderId="17" xfId="0" applyFont="1" applyFill="1" applyBorder="1" applyAlignment="1">
      <alignment horizontal="center"/>
    </xf>
    <xf numFmtId="2" fontId="41" fillId="8" borderId="17" xfId="0" applyNumberFormat="1" applyFont="1" applyFill="1" applyBorder="1" applyAlignment="1">
      <alignment horizontal="center"/>
    </xf>
    <xf numFmtId="179" fontId="43" fillId="8" borderId="17" xfId="0" applyNumberFormat="1" applyFont="1" applyFill="1" applyBorder="1" applyAlignment="1">
      <alignment horizontal="center"/>
    </xf>
    <xf numFmtId="179" fontId="41" fillId="8" borderId="17" xfId="0" applyNumberFormat="1" applyFont="1" applyFill="1" applyBorder="1" applyAlignment="1">
      <alignment horizontal="center"/>
    </xf>
    <xf numFmtId="10" fontId="41" fillId="8" borderId="17" xfId="8" applyNumberFormat="1" applyFont="1" applyFill="1" applyBorder="1" applyAlignment="1">
      <alignment horizontal="center"/>
    </xf>
    <xf numFmtId="17" fontId="41" fillId="0" borderId="0" xfId="0" applyNumberFormat="1" applyFont="1" applyAlignment="1">
      <alignment horizontal="center"/>
    </xf>
    <xf numFmtId="179" fontId="42" fillId="0" borderId="0" xfId="0" applyNumberFormat="1" applyFont="1"/>
    <xf numFmtId="179" fontId="41" fillId="0" borderId="0" xfId="0" applyNumberFormat="1" applyFont="1" applyAlignment="1">
      <alignment horizontal="center"/>
    </xf>
    <xf numFmtId="179" fontId="42" fillId="11" borderId="0" xfId="0" applyNumberFormat="1" applyFont="1" applyFill="1" applyAlignment="1">
      <alignment horizontal="right"/>
    </xf>
    <xf numFmtId="179" fontId="42" fillId="11" borderId="0" xfId="0" applyNumberFormat="1" applyFont="1" applyFill="1" applyAlignment="1">
      <alignment horizontal="center"/>
    </xf>
    <xf numFmtId="179" fontId="41" fillId="11" borderId="0" xfId="0" applyNumberFormat="1" applyFont="1" applyFill="1" applyAlignment="1">
      <alignment horizontal="center"/>
    </xf>
    <xf numFmtId="179" fontId="41" fillId="0" borderId="0" xfId="0" applyNumberFormat="1" applyFont="1" applyAlignment="1">
      <alignment horizontal="right"/>
    </xf>
    <xf numFmtId="179" fontId="42" fillId="5" borderId="0" xfId="0" applyNumberFormat="1" applyFont="1" applyFill="1" applyAlignment="1">
      <alignment horizontal="right"/>
    </xf>
    <xf numFmtId="179" fontId="42" fillId="5" borderId="0" xfId="0" applyNumberFormat="1" applyFont="1" applyFill="1" applyAlignment="1">
      <alignment horizontal="center"/>
    </xf>
    <xf numFmtId="179" fontId="41" fillId="5" borderId="0" xfId="0" applyNumberFormat="1" applyFont="1" applyFill="1" applyAlignment="1">
      <alignment horizontal="center"/>
    </xf>
    <xf numFmtId="179" fontId="42" fillId="0" borderId="0" xfId="0" applyNumberFormat="1" applyFont="1" applyAlignment="1">
      <alignment horizontal="left"/>
    </xf>
    <xf numFmtId="179" fontId="41" fillId="0" borderId="37" xfId="0" applyNumberFormat="1" applyFont="1" applyBorder="1"/>
    <xf numFmtId="179" fontId="41" fillId="0" borderId="37" xfId="0" applyNumberFormat="1" applyFont="1" applyBorder="1" applyAlignment="1">
      <alignment horizontal="center"/>
    </xf>
    <xf numFmtId="180" fontId="41" fillId="0" borderId="18" xfId="8" applyNumberFormat="1" applyFont="1" applyBorder="1" applyAlignment="1">
      <alignment horizontal="center"/>
    </xf>
    <xf numFmtId="0" fontId="42" fillId="5" borderId="38" xfId="0" applyFont="1" applyFill="1" applyBorder="1" applyAlignment="1">
      <alignment horizontal="center"/>
    </xf>
    <xf numFmtId="180" fontId="41" fillId="0" borderId="16" xfId="8" applyNumberFormat="1" applyFont="1" applyBorder="1" applyAlignment="1">
      <alignment horizontal="center"/>
    </xf>
    <xf numFmtId="0" fontId="42" fillId="5" borderId="39" xfId="0" applyFont="1" applyFill="1" applyBorder="1" applyAlignment="1">
      <alignment horizontal="center"/>
    </xf>
    <xf numFmtId="0" fontId="42" fillId="5" borderId="40" xfId="0" applyFont="1" applyFill="1" applyBorder="1" applyAlignment="1">
      <alignment horizontal="center"/>
    </xf>
    <xf numFmtId="180" fontId="41" fillId="0" borderId="18" xfId="8" applyNumberFormat="1" applyFont="1" applyBorder="1"/>
    <xf numFmtId="180" fontId="41" fillId="0" borderId="16" xfId="8" applyNumberFormat="1" applyFont="1" applyBorder="1"/>
    <xf numFmtId="0" fontId="42" fillId="0" borderId="0" xfId="0" applyFont="1"/>
    <xf numFmtId="0" fontId="41" fillId="0" borderId="0" xfId="0" applyFont="1" applyAlignment="1">
      <alignment horizontal="right"/>
    </xf>
    <xf numFmtId="183" fontId="42" fillId="12" borderId="0" xfId="0" applyNumberFormat="1" applyFont="1" applyFill="1" applyAlignment="1">
      <alignment horizontal="center"/>
    </xf>
    <xf numFmtId="183" fontId="42" fillId="0" borderId="0" xfId="0" applyNumberFormat="1" applyFont="1" applyAlignment="1">
      <alignment horizontal="center"/>
    </xf>
    <xf numFmtId="183" fontId="42" fillId="5" borderId="0" xfId="0" applyNumberFormat="1" applyFont="1" applyFill="1" applyAlignment="1">
      <alignment horizontal="center"/>
    </xf>
    <xf numFmtId="183" fontId="42" fillId="0" borderId="0" xfId="0" applyNumberFormat="1" applyFont="1"/>
    <xf numFmtId="177" fontId="35" fillId="0" borderId="35" xfId="2" applyNumberFormat="1" applyFont="1" applyBorder="1" applyAlignment="1">
      <alignment horizontal="center"/>
    </xf>
    <xf numFmtId="179" fontId="41" fillId="13" borderId="0" xfId="0" applyNumberFormat="1" applyFont="1" applyFill="1" applyAlignment="1">
      <alignment horizontal="center"/>
    </xf>
    <xf numFmtId="0" fontId="36" fillId="10" borderId="0" xfId="0" applyFont="1" applyFill="1"/>
    <xf numFmtId="0" fontId="42" fillId="10" borderId="0" xfId="0" applyFont="1" applyFill="1"/>
    <xf numFmtId="179" fontId="42" fillId="10" borderId="17" xfId="0" applyNumberFormat="1" applyFont="1" applyFill="1" applyBorder="1" applyAlignment="1">
      <alignment horizontal="center"/>
    </xf>
    <xf numFmtId="179" fontId="42" fillId="0" borderId="17" xfId="0" applyNumberFormat="1" applyFont="1" applyBorder="1" applyAlignment="1">
      <alignment horizontal="center"/>
    </xf>
    <xf numFmtId="179" fontId="43" fillId="0" borderId="0" xfId="0" applyNumberFormat="1" applyFont="1" applyAlignment="1">
      <alignment horizontal="center"/>
    </xf>
    <xf numFmtId="0" fontId="35" fillId="0" borderId="0" xfId="2" applyFont="1"/>
    <xf numFmtId="179" fontId="44" fillId="10" borderId="17" xfId="0" applyNumberFormat="1" applyFont="1" applyFill="1" applyBorder="1" applyAlignment="1">
      <alignment horizontal="center"/>
    </xf>
    <xf numFmtId="169" fontId="32" fillId="0" borderId="15" xfId="0" applyNumberFormat="1" applyFont="1" applyBorder="1" applyAlignment="1">
      <alignment horizontal="center"/>
    </xf>
    <xf numFmtId="182" fontId="18" fillId="0" borderId="17" xfId="0" applyNumberFormat="1" applyFont="1" applyBorder="1" applyAlignment="1">
      <alignment horizontal="center"/>
    </xf>
    <xf numFmtId="179" fontId="0" fillId="0" borderId="0" xfId="0" applyNumberFormat="1"/>
    <xf numFmtId="10" fontId="0" fillId="0" borderId="0" xfId="0" applyNumberFormat="1"/>
    <xf numFmtId="0" fontId="0" fillId="0" borderId="36" xfId="0" applyBorder="1"/>
    <xf numFmtId="0" fontId="0" fillId="0" borderId="41" xfId="0" applyBorder="1"/>
    <xf numFmtId="0" fontId="0" fillId="0" borderId="42" xfId="0" applyBorder="1"/>
    <xf numFmtId="10" fontId="0" fillId="0" borderId="43" xfId="0" applyNumberFormat="1" applyBorder="1"/>
    <xf numFmtId="0" fontId="0" fillId="0" borderId="4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0" fontId="0" fillId="0" borderId="29" xfId="0" applyNumberFormat="1" applyBorder="1"/>
    <xf numFmtId="17" fontId="39" fillId="6" borderId="24" xfId="0" applyNumberFormat="1" applyFont="1" applyFill="1" applyBorder="1" applyAlignment="1">
      <alignment horizontal="center"/>
    </xf>
    <xf numFmtId="179" fontId="42" fillId="0" borderId="35" xfId="0" applyNumberFormat="1" applyFont="1" applyBorder="1"/>
    <xf numFmtId="179" fontId="41" fillId="0" borderId="44" xfId="0" applyNumberFormat="1" applyFont="1" applyBorder="1" applyAlignment="1">
      <alignment horizontal="center"/>
    </xf>
    <xf numFmtId="179" fontId="42" fillId="0" borderId="28" xfId="0" applyNumberFormat="1" applyFont="1" applyBorder="1"/>
    <xf numFmtId="179" fontId="42" fillId="11" borderId="28" xfId="0" applyNumberFormat="1" applyFont="1" applyFill="1" applyBorder="1" applyAlignment="1">
      <alignment horizontal="center"/>
    </xf>
    <xf numFmtId="179" fontId="41" fillId="0" borderId="28" xfId="0" applyNumberFormat="1" applyFont="1" applyBorder="1" applyAlignment="1">
      <alignment horizontal="right"/>
    </xf>
    <xf numFmtId="179" fontId="42" fillId="5" borderId="28" xfId="0" applyNumberFormat="1" applyFont="1" applyFill="1" applyBorder="1" applyAlignment="1">
      <alignment horizontal="center"/>
    </xf>
    <xf numFmtId="179" fontId="41" fillId="0" borderId="31" xfId="0" applyNumberFormat="1" applyFont="1" applyBorder="1" applyAlignment="1">
      <alignment horizontal="right"/>
    </xf>
    <xf numFmtId="179" fontId="0" fillId="0" borderId="45" xfId="0" applyNumberFormat="1" applyBorder="1"/>
    <xf numFmtId="0" fontId="0" fillId="0" borderId="45" xfId="0" applyBorder="1"/>
    <xf numFmtId="10" fontId="0" fillId="0" borderId="30" xfId="0" applyNumberFormat="1" applyBorder="1"/>
    <xf numFmtId="9" fontId="0" fillId="0" borderId="27" xfId="0" applyNumberFormat="1" applyBorder="1"/>
    <xf numFmtId="179" fontId="41" fillId="0" borderId="28" xfId="0" applyNumberFormat="1" applyFont="1" applyBorder="1"/>
    <xf numFmtId="179" fontId="42" fillId="0" borderId="44" xfId="0" applyNumberFormat="1" applyFont="1" applyBorder="1" applyAlignment="1">
      <alignment horizontal="center"/>
    </xf>
    <xf numFmtId="179" fontId="42" fillId="11" borderId="28" xfId="0" applyNumberFormat="1" applyFont="1" applyFill="1" applyBorder="1" applyAlignment="1">
      <alignment horizontal="right"/>
    </xf>
    <xf numFmtId="179" fontId="42" fillId="5" borderId="28" xfId="0" applyNumberFormat="1" applyFont="1" applyFill="1" applyBorder="1" applyAlignment="1">
      <alignment horizontal="right"/>
    </xf>
    <xf numFmtId="179" fontId="42" fillId="0" borderId="35" xfId="0" applyNumberFormat="1" applyFont="1" applyBorder="1" applyAlignment="1">
      <alignment horizontal="left"/>
    </xf>
    <xf numFmtId="0" fontId="9" fillId="0" borderId="29" xfId="2" applyFont="1" applyBorder="1" applyAlignment="1">
      <alignment horizontal="right"/>
    </xf>
    <xf numFmtId="180" fontId="39" fillId="0" borderId="28" xfId="8" applyNumberFormat="1" applyFont="1" applyBorder="1" applyAlignment="1">
      <alignment horizontal="center"/>
    </xf>
    <xf numFmtId="0" fontId="7" fillId="4" borderId="36" xfId="2" applyFont="1" applyFill="1" applyBorder="1" applyAlignment="1">
      <alignment horizontal="right"/>
    </xf>
    <xf numFmtId="0" fontId="9" fillId="0" borderId="43" xfId="2" applyFont="1" applyBorder="1" applyAlignment="1">
      <alignment horizontal="right"/>
    </xf>
    <xf numFmtId="2" fontId="39" fillId="0" borderId="41" xfId="8" applyNumberFormat="1" applyFont="1" applyBorder="1" applyAlignment="1">
      <alignment horizontal="center"/>
    </xf>
    <xf numFmtId="17" fontId="0" fillId="0" borderId="0" xfId="0" applyNumberFormat="1"/>
    <xf numFmtId="176" fontId="0" fillId="0" borderId="0" xfId="0" applyNumberFormat="1"/>
    <xf numFmtId="10" fontId="18" fillId="0" borderId="17" xfId="0" applyNumberFormat="1" applyFont="1" applyBorder="1" applyAlignment="1">
      <alignment horizontal="center"/>
    </xf>
    <xf numFmtId="0" fontId="20" fillId="4" borderId="2" xfId="2" applyFont="1" applyFill="1" applyBorder="1" applyAlignment="1">
      <alignment horizontal="center"/>
    </xf>
    <xf numFmtId="0" fontId="22" fillId="4" borderId="2" xfId="2" applyFont="1" applyFill="1" applyBorder="1" applyAlignment="1">
      <alignment horizontal="center"/>
    </xf>
    <xf numFmtId="0" fontId="42" fillId="14" borderId="17" xfId="0" applyFont="1" applyFill="1" applyBorder="1" applyAlignment="1">
      <alignment horizontal="center"/>
    </xf>
    <xf numFmtId="2" fontId="42" fillId="14" borderId="17" xfId="0" applyNumberFormat="1" applyFont="1" applyFill="1" applyBorder="1" applyAlignment="1">
      <alignment horizontal="center"/>
    </xf>
    <xf numFmtId="179" fontId="42" fillId="14" borderId="17" xfId="0" applyNumberFormat="1" applyFont="1" applyFill="1" applyBorder="1" applyAlignment="1">
      <alignment horizontal="center"/>
    </xf>
    <xf numFmtId="182" fontId="42" fillId="14" borderId="17" xfId="0" applyNumberFormat="1" applyFont="1" applyFill="1" applyBorder="1" applyAlignment="1">
      <alignment horizontal="center"/>
    </xf>
    <xf numFmtId="184" fontId="42" fillId="14" borderId="17" xfId="0" applyNumberFormat="1" applyFont="1" applyFill="1" applyBorder="1" applyAlignment="1">
      <alignment horizontal="center"/>
    </xf>
    <xf numFmtId="180" fontId="42" fillId="14" borderId="17" xfId="8" applyNumberFormat="1" applyFont="1" applyFill="1" applyBorder="1" applyAlignment="1">
      <alignment horizontal="center"/>
    </xf>
    <xf numFmtId="0" fontId="9" fillId="4" borderId="46" xfId="2" applyFont="1" applyFill="1" applyBorder="1" applyAlignment="1">
      <alignment horizontal="center"/>
    </xf>
    <xf numFmtId="0" fontId="9" fillId="4" borderId="47" xfId="2" applyFont="1" applyFill="1" applyBorder="1" applyAlignment="1">
      <alignment horizontal="center"/>
    </xf>
    <xf numFmtId="2" fontId="9" fillId="4" borderId="48" xfId="2" applyNumberFormat="1" applyFont="1" applyFill="1" applyBorder="1" applyAlignment="1">
      <alignment horizontal="center"/>
    </xf>
    <xf numFmtId="175" fontId="9" fillId="0" borderId="29" xfId="2" applyNumberFormat="1" applyFont="1" applyBorder="1" applyAlignment="1">
      <alignment horizontal="center"/>
    </xf>
    <xf numFmtId="2" fontId="7" fillId="4" borderId="48" xfId="2" applyNumberFormat="1" applyFont="1" applyFill="1" applyBorder="1" applyAlignment="1">
      <alignment horizontal="center"/>
    </xf>
    <xf numFmtId="175" fontId="9" fillId="0" borderId="47" xfId="2" applyNumberFormat="1" applyFont="1" applyBorder="1" applyAlignment="1">
      <alignment horizontal="center"/>
    </xf>
    <xf numFmtId="175" fontId="0" fillId="0" borderId="29" xfId="0" applyNumberFormat="1" applyBorder="1" applyAlignment="1">
      <alignment horizontal="center"/>
    </xf>
    <xf numFmtId="0" fontId="20" fillId="4" borderId="49" xfId="2" applyFont="1" applyFill="1" applyBorder="1" applyAlignment="1">
      <alignment horizontal="center"/>
    </xf>
    <xf numFmtId="0" fontId="20" fillId="4" borderId="50" xfId="2" applyFont="1" applyFill="1" applyBorder="1" applyAlignment="1">
      <alignment horizontal="center"/>
    </xf>
    <xf numFmtId="185" fontId="20" fillId="4" borderId="48" xfId="2" applyNumberFormat="1" applyFont="1" applyFill="1" applyBorder="1" applyAlignment="1">
      <alignment horizontal="center"/>
    </xf>
    <xf numFmtId="185" fontId="22" fillId="4" borderId="48" xfId="2" applyNumberFormat="1" applyFont="1" applyFill="1" applyBorder="1" applyAlignment="1">
      <alignment horizontal="center"/>
    </xf>
    <xf numFmtId="185" fontId="20" fillId="4" borderId="51" xfId="2" applyNumberFormat="1" applyFont="1" applyFill="1" applyBorder="1" applyAlignment="1">
      <alignment horizontal="center"/>
    </xf>
    <xf numFmtId="183" fontId="20" fillId="0" borderId="0" xfId="2" applyNumberFormat="1" applyFont="1" applyAlignment="1">
      <alignment horizontal="center"/>
    </xf>
    <xf numFmtId="183" fontId="20" fillId="0" borderId="6" xfId="2" applyNumberFormat="1" applyFont="1" applyBorder="1" applyAlignment="1">
      <alignment horizontal="center"/>
    </xf>
    <xf numFmtId="183" fontId="20" fillId="0" borderId="29" xfId="2" applyNumberFormat="1" applyFont="1" applyBorder="1" applyAlignment="1">
      <alignment horizontal="center"/>
    </xf>
    <xf numFmtId="183" fontId="20" fillId="0" borderId="9" xfId="2" applyNumberFormat="1" applyFont="1" applyBorder="1" applyAlignment="1">
      <alignment horizontal="center"/>
    </xf>
    <xf numFmtId="183" fontId="22" fillId="0" borderId="10" xfId="2" applyNumberFormat="1" applyFont="1" applyBorder="1" applyAlignment="1">
      <alignment horizontal="center"/>
    </xf>
    <xf numFmtId="183" fontId="20" fillId="0" borderId="47" xfId="2" applyNumberFormat="1" applyFont="1" applyBorder="1" applyAlignment="1">
      <alignment horizontal="center"/>
    </xf>
    <xf numFmtId="183" fontId="15" fillId="0" borderId="0" xfId="0" applyNumberFormat="1" applyFont="1" applyAlignment="1">
      <alignment horizontal="center"/>
    </xf>
    <xf numFmtId="183" fontId="15" fillId="0" borderId="6" xfId="0" applyNumberFormat="1" applyFont="1" applyBorder="1" applyAlignment="1">
      <alignment horizontal="center"/>
    </xf>
    <xf numFmtId="183" fontId="15" fillId="0" borderId="29" xfId="0" applyNumberFormat="1" applyFont="1" applyBorder="1" applyAlignment="1">
      <alignment horizontal="center"/>
    </xf>
    <xf numFmtId="183" fontId="15" fillId="0" borderId="45" xfId="0" applyNumberFormat="1" applyFont="1" applyBorder="1" applyAlignment="1">
      <alignment horizontal="center"/>
    </xf>
    <xf numFmtId="183" fontId="15" fillId="0" borderId="52" xfId="0" applyNumberFormat="1" applyFont="1" applyBorder="1" applyAlignment="1">
      <alignment horizontal="center"/>
    </xf>
    <xf numFmtId="183" fontId="15" fillId="0" borderId="30" xfId="0" applyNumberFormat="1" applyFont="1" applyBorder="1" applyAlignment="1">
      <alignment horizontal="center"/>
    </xf>
    <xf numFmtId="167" fontId="35" fillId="0" borderId="2" xfId="1" applyNumberFormat="1" applyFont="1" applyBorder="1"/>
    <xf numFmtId="167" fontId="35" fillId="0" borderId="0" xfId="1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180" fontId="34" fillId="0" borderId="0" xfId="8" applyNumberFormat="1" applyFont="1" applyAlignment="1">
      <alignment horizontal="center"/>
    </xf>
    <xf numFmtId="0" fontId="7" fillId="0" borderId="0" xfId="2" applyFont="1" applyAlignment="1">
      <alignment horizontal="right"/>
    </xf>
    <xf numFmtId="179" fontId="41" fillId="0" borderId="13" xfId="0" applyNumberFormat="1" applyFont="1" applyBorder="1" applyAlignment="1">
      <alignment horizontal="center"/>
    </xf>
    <xf numFmtId="0" fontId="35" fillId="0" borderId="44" xfId="2" applyFont="1" applyBorder="1" applyAlignment="1">
      <alignment horizontal="center"/>
    </xf>
    <xf numFmtId="10" fontId="7" fillId="0" borderId="45" xfId="1" applyNumberFormat="1" applyFont="1" applyBorder="1" applyAlignment="1">
      <alignment horizontal="center"/>
    </xf>
    <xf numFmtId="2" fontId="41" fillId="0" borderId="54" xfId="0" applyNumberFormat="1" applyFont="1" applyBorder="1" applyAlignment="1">
      <alignment horizontal="center"/>
    </xf>
    <xf numFmtId="179" fontId="41" fillId="0" borderId="54" xfId="0" applyNumberFormat="1" applyFont="1" applyBorder="1" applyAlignment="1">
      <alignment horizontal="center"/>
    </xf>
    <xf numFmtId="180" fontId="41" fillId="0" borderId="54" xfId="8" applyNumberFormat="1" applyFont="1" applyBorder="1" applyAlignment="1">
      <alignment horizontal="center" vertical="center"/>
    </xf>
    <xf numFmtId="180" fontId="41" fillId="0" borderId="55" xfId="8" applyNumberFormat="1" applyFont="1" applyBorder="1" applyAlignment="1">
      <alignment horizontal="center" vertical="center"/>
    </xf>
    <xf numFmtId="169" fontId="35" fillId="0" borderId="0" xfId="1" applyNumberFormat="1" applyFont="1" applyAlignment="1">
      <alignment horizontal="center"/>
    </xf>
    <xf numFmtId="0" fontId="41" fillId="10" borderId="18" xfId="0" applyFont="1" applyFill="1" applyBorder="1" applyAlignment="1">
      <alignment horizontal="center"/>
    </xf>
    <xf numFmtId="2" fontId="41" fillId="10" borderId="18" xfId="0" applyNumberFormat="1" applyFont="1" applyFill="1" applyBorder="1" applyAlignment="1">
      <alignment horizontal="center"/>
    </xf>
    <xf numFmtId="179" fontId="41" fillId="10" borderId="18" xfId="0" applyNumberFormat="1" applyFont="1" applyFill="1" applyBorder="1" applyAlignment="1">
      <alignment horizontal="center"/>
    </xf>
    <xf numFmtId="0" fontId="41" fillId="10" borderId="56" xfId="0" applyFont="1" applyFill="1" applyBorder="1" applyAlignment="1">
      <alignment horizontal="center"/>
    </xf>
    <xf numFmtId="2" fontId="41" fillId="10" borderId="13" xfId="0" applyNumberFormat="1" applyFont="1" applyFill="1" applyBorder="1" applyAlignment="1">
      <alignment horizontal="center"/>
    </xf>
    <xf numFmtId="179" fontId="41" fillId="10" borderId="13" xfId="0" applyNumberFormat="1" applyFont="1" applyFill="1" applyBorder="1" applyAlignment="1">
      <alignment horizontal="center"/>
    </xf>
    <xf numFmtId="180" fontId="41" fillId="10" borderId="57" xfId="8" applyNumberFormat="1" applyFont="1" applyFill="1" applyBorder="1" applyAlignment="1">
      <alignment vertical="center"/>
    </xf>
    <xf numFmtId="166" fontId="9" fillId="0" borderId="25" xfId="1" applyFont="1" applyBorder="1"/>
    <xf numFmtId="167" fontId="8" fillId="7" borderId="24" xfId="1" applyNumberFormat="1" applyFont="1" applyFill="1" applyBorder="1" applyAlignment="1">
      <alignment horizontal="center"/>
    </xf>
    <xf numFmtId="167" fontId="8" fillId="7" borderId="25" xfId="1" applyNumberFormat="1" applyFont="1" applyFill="1" applyBorder="1" applyAlignment="1">
      <alignment horizontal="center"/>
    </xf>
    <xf numFmtId="167" fontId="8" fillId="0" borderId="24" xfId="1" applyNumberFormat="1" applyFont="1" applyBorder="1"/>
    <xf numFmtId="167" fontId="8" fillId="0" borderId="25" xfId="1" applyNumberFormat="1" applyFont="1" applyBorder="1"/>
    <xf numFmtId="167" fontId="8" fillId="0" borderId="25" xfId="1" applyNumberFormat="1" applyFont="1" applyBorder="1" applyAlignment="1">
      <alignment horizontal="center"/>
    </xf>
    <xf numFmtId="10" fontId="36" fillId="0" borderId="25" xfId="8" applyNumberFormat="1" applyFont="1" applyBorder="1" applyAlignment="1">
      <alignment horizontal="center"/>
    </xf>
    <xf numFmtId="10" fontId="36" fillId="0" borderId="26" xfId="8" applyNumberFormat="1" applyFont="1" applyBorder="1" applyAlignment="1">
      <alignment horizontal="center"/>
    </xf>
    <xf numFmtId="167" fontId="8" fillId="7" borderId="25" xfId="1" applyNumberFormat="1" applyFont="1" applyFill="1" applyBorder="1" applyAlignment="1">
      <alignment horizontal="center" wrapText="1"/>
    </xf>
    <xf numFmtId="10" fontId="7" fillId="0" borderId="25" xfId="3" applyNumberFormat="1" applyFont="1" applyBorder="1" applyAlignment="1">
      <alignment horizontal="center"/>
    </xf>
    <xf numFmtId="10" fontId="7" fillId="0" borderId="26" xfId="3" applyNumberFormat="1" applyFont="1" applyBorder="1" applyAlignment="1">
      <alignment horizontal="center"/>
    </xf>
    <xf numFmtId="179" fontId="41" fillId="10" borderId="16" xfId="0" applyNumberFormat="1" applyFont="1" applyFill="1" applyBorder="1" applyAlignment="1">
      <alignment horizontal="center"/>
    </xf>
    <xf numFmtId="180" fontId="42" fillId="10" borderId="16" xfId="8" applyNumberFormat="1" applyFont="1" applyFill="1" applyBorder="1" applyAlignment="1">
      <alignment horizontal="center" vertical="center"/>
    </xf>
    <xf numFmtId="0" fontId="9" fillId="4" borderId="24" xfId="2" applyFont="1" applyFill="1" applyBorder="1" applyAlignment="1">
      <alignment horizontal="center"/>
    </xf>
    <xf numFmtId="167" fontId="8" fillId="7" borderId="24" xfId="1" applyNumberFormat="1" applyFont="1" applyFill="1" applyBorder="1" applyAlignment="1">
      <alignment horizontal="center" wrapText="1"/>
    </xf>
    <xf numFmtId="0" fontId="9" fillId="4" borderId="25" xfId="2" applyFont="1" applyFill="1" applyBorder="1" applyAlignment="1">
      <alignment horizontal="center"/>
    </xf>
    <xf numFmtId="0" fontId="7" fillId="4" borderId="25" xfId="2" applyFont="1" applyFill="1" applyBorder="1" applyAlignment="1">
      <alignment horizontal="center"/>
    </xf>
    <xf numFmtId="166" fontId="9" fillId="0" borderId="25" xfId="1" applyFont="1" applyBorder="1" applyAlignment="1">
      <alignment horizontal="center" wrapText="1"/>
    </xf>
    <xf numFmtId="169" fontId="9" fillId="0" borderId="25" xfId="2" applyNumberFormat="1" applyFont="1" applyBorder="1" applyAlignment="1">
      <alignment horizontal="center"/>
    </xf>
    <xf numFmtId="0" fontId="9" fillId="0" borderId="25" xfId="2" applyFont="1" applyBorder="1" applyAlignment="1">
      <alignment horizontal="center"/>
    </xf>
    <xf numFmtId="181" fontId="9" fillId="0" borderId="25" xfId="2" applyNumberFormat="1" applyFont="1" applyBorder="1" applyAlignment="1">
      <alignment horizontal="center"/>
    </xf>
    <xf numFmtId="0" fontId="7" fillId="4" borderId="26" xfId="2" applyFont="1" applyFill="1" applyBorder="1" applyAlignment="1">
      <alignment horizontal="center"/>
    </xf>
    <xf numFmtId="0" fontId="42" fillId="5" borderId="58" xfId="0" applyFont="1" applyFill="1" applyBorder="1" applyAlignment="1">
      <alignment horizontal="center"/>
    </xf>
    <xf numFmtId="179" fontId="41" fillId="0" borderId="18" xfId="0" applyNumberFormat="1" applyFont="1" applyBorder="1" applyAlignment="1">
      <alignment horizontal="center"/>
    </xf>
    <xf numFmtId="10" fontId="41" fillId="0" borderId="54" xfId="0" applyNumberFormat="1" applyFont="1" applyBorder="1" applyAlignment="1">
      <alignment horizontal="center"/>
    </xf>
    <xf numFmtId="10" fontId="41" fillId="10" borderId="13" xfId="0" applyNumberFormat="1" applyFont="1" applyFill="1" applyBorder="1" applyAlignment="1">
      <alignment horizontal="center"/>
    </xf>
    <xf numFmtId="176" fontId="41" fillId="10" borderId="17" xfId="0" applyNumberFormat="1" applyFont="1" applyFill="1" applyBorder="1" applyAlignment="1">
      <alignment horizontal="center"/>
    </xf>
    <xf numFmtId="17" fontId="31" fillId="0" borderId="28" xfId="0" applyNumberFormat="1" applyFont="1" applyBorder="1"/>
    <xf numFmtId="0" fontId="8" fillId="0" borderId="10" xfId="2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180" fontId="41" fillId="10" borderId="13" xfId="8" applyNumberFormat="1" applyFont="1" applyFill="1" applyBorder="1" applyAlignment="1">
      <alignment horizontal="center" vertical="center"/>
    </xf>
    <xf numFmtId="169" fontId="35" fillId="0" borderId="28" xfId="1" applyNumberFormat="1" applyFont="1" applyBorder="1" applyAlignment="1">
      <alignment horizontal="center"/>
    </xf>
    <xf numFmtId="0" fontId="18" fillId="0" borderId="35" xfId="0" applyFont="1" applyBorder="1"/>
    <xf numFmtId="0" fontId="41" fillId="5" borderId="63" xfId="0" applyFont="1" applyFill="1" applyBorder="1"/>
    <xf numFmtId="0" fontId="31" fillId="0" borderId="29" xfId="0" applyFont="1" applyBorder="1"/>
    <xf numFmtId="178" fontId="1" fillId="0" borderId="0" xfId="8" applyNumberFormat="1"/>
    <xf numFmtId="0" fontId="42" fillId="10" borderId="28" xfId="0" applyFont="1" applyFill="1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/>
    </xf>
    <xf numFmtId="0" fontId="42" fillId="14" borderId="63" xfId="0" applyFont="1" applyFill="1" applyBorder="1" applyAlignment="1">
      <alignment horizontal="left"/>
    </xf>
    <xf numFmtId="0" fontId="41" fillId="0" borderId="28" xfId="0" applyFont="1" applyBorder="1"/>
    <xf numFmtId="2" fontId="41" fillId="0" borderId="0" xfId="0" applyNumberFormat="1" applyFont="1"/>
    <xf numFmtId="0" fontId="18" fillId="0" borderId="28" xfId="0" applyFont="1" applyBorder="1"/>
    <xf numFmtId="0" fontId="42" fillId="10" borderId="63" xfId="0" applyFont="1" applyFill="1" applyBorder="1" applyAlignment="1">
      <alignment horizontal="left"/>
    </xf>
    <xf numFmtId="0" fontId="42" fillId="6" borderId="63" xfId="0" applyFont="1" applyFill="1" applyBorder="1" applyAlignment="1">
      <alignment horizontal="left"/>
    </xf>
    <xf numFmtId="0" fontId="42" fillId="0" borderId="28" xfId="0" applyFont="1" applyBorder="1" applyAlignment="1">
      <alignment horizontal="center"/>
    </xf>
    <xf numFmtId="0" fontId="42" fillId="6" borderId="63" xfId="0" applyFont="1" applyFill="1" applyBorder="1" applyAlignment="1">
      <alignment horizontal="center"/>
    </xf>
    <xf numFmtId="179" fontId="42" fillId="0" borderId="28" xfId="0" applyNumberFormat="1" applyFont="1" applyBorder="1" applyAlignment="1">
      <alignment horizontal="center"/>
    </xf>
    <xf numFmtId="0" fontId="42" fillId="10" borderId="53" xfId="0" applyFont="1" applyFill="1" applyBorder="1" applyAlignment="1">
      <alignment horizontal="left"/>
    </xf>
    <xf numFmtId="0" fontId="42" fillId="10" borderId="54" xfId="0" applyFont="1" applyFill="1" applyBorder="1" applyAlignment="1">
      <alignment horizontal="left"/>
    </xf>
    <xf numFmtId="179" fontId="41" fillId="10" borderId="54" xfId="0" applyNumberFormat="1" applyFont="1" applyFill="1" applyBorder="1" applyAlignment="1">
      <alignment horizontal="center"/>
    </xf>
    <xf numFmtId="0" fontId="18" fillId="0" borderId="45" xfId="0" applyFont="1" applyBorder="1"/>
    <xf numFmtId="10" fontId="18" fillId="0" borderId="45" xfId="0" applyNumberFormat="1" applyFont="1" applyBorder="1" applyAlignment="1">
      <alignment horizontal="center"/>
    </xf>
    <xf numFmtId="179" fontId="18" fillId="0" borderId="45" xfId="0" applyNumberFormat="1" applyFont="1" applyBorder="1"/>
    <xf numFmtId="2" fontId="43" fillId="0" borderId="17" xfId="0" applyNumberFormat="1" applyFont="1" applyBorder="1" applyAlignment="1">
      <alignment horizontal="center"/>
    </xf>
    <xf numFmtId="179" fontId="44" fillId="0" borderId="17" xfId="0" applyNumberFormat="1" applyFont="1" applyBorder="1" applyAlignment="1">
      <alignment horizontal="center"/>
    </xf>
    <xf numFmtId="10" fontId="43" fillId="0" borderId="17" xfId="0" applyNumberFormat="1" applyFont="1" applyBorder="1" applyAlignment="1">
      <alignment horizontal="center"/>
    </xf>
    <xf numFmtId="180" fontId="43" fillId="0" borderId="17" xfId="8" applyNumberFormat="1" applyFont="1" applyBorder="1" applyAlignment="1">
      <alignment horizontal="center"/>
    </xf>
    <xf numFmtId="180" fontId="43" fillId="0" borderId="18" xfId="8" applyNumberFormat="1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2" fontId="41" fillId="0" borderId="40" xfId="0" applyNumberFormat="1" applyFont="1" applyBorder="1" applyAlignment="1">
      <alignment horizontal="center"/>
    </xf>
    <xf numFmtId="179" fontId="41" fillId="0" borderId="40" xfId="0" applyNumberFormat="1" applyFont="1" applyBorder="1" applyAlignment="1">
      <alignment horizontal="center"/>
    </xf>
    <xf numFmtId="10" fontId="41" fillId="0" borderId="40" xfId="0" applyNumberFormat="1" applyFont="1" applyBorder="1" applyAlignment="1">
      <alignment horizontal="center"/>
    </xf>
    <xf numFmtId="180" fontId="41" fillId="0" borderId="40" xfId="8" applyNumberFormat="1" applyFont="1" applyBorder="1" applyAlignment="1">
      <alignment horizontal="center" vertical="center"/>
    </xf>
    <xf numFmtId="180" fontId="41" fillId="0" borderId="65" xfId="8" applyNumberFormat="1" applyFont="1" applyBorder="1" applyAlignment="1">
      <alignment horizontal="center" vertical="center"/>
    </xf>
    <xf numFmtId="182" fontId="41" fillId="0" borderId="0" xfId="0" applyNumberFormat="1" applyFont="1"/>
    <xf numFmtId="4" fontId="30" fillId="0" borderId="0" xfId="0" applyNumberFormat="1" applyFont="1"/>
    <xf numFmtId="169" fontId="30" fillId="0" borderId="0" xfId="0" applyNumberFormat="1" applyFont="1"/>
    <xf numFmtId="13" fontId="31" fillId="0" borderId="18" xfId="4" applyNumberFormat="1" applyFont="1" applyBorder="1" applyAlignment="1">
      <alignment horizontal="center"/>
    </xf>
    <xf numFmtId="169" fontId="37" fillId="0" borderId="0" xfId="1" applyNumberFormat="1" applyFont="1" applyAlignment="1">
      <alignment horizontal="center"/>
    </xf>
    <xf numFmtId="167" fontId="37" fillId="0" borderId="0" xfId="1" applyNumberFormat="1" applyFont="1" applyAlignment="1">
      <alignment horizontal="center"/>
    </xf>
    <xf numFmtId="0" fontId="30" fillId="5" borderId="0" xfId="0" applyFont="1" applyFill="1"/>
    <xf numFmtId="0" fontId="30" fillId="13" borderId="0" xfId="0" applyFont="1" applyFill="1"/>
    <xf numFmtId="167" fontId="37" fillId="0" borderId="2" xfId="1" applyNumberFormat="1" applyFont="1" applyBorder="1" applyAlignment="1">
      <alignment horizontal="center"/>
    </xf>
    <xf numFmtId="167" fontId="37" fillId="0" borderId="2" xfId="1" applyNumberFormat="1" applyFont="1" applyBorder="1"/>
    <xf numFmtId="166" fontId="37" fillId="0" borderId="2" xfId="1" applyFont="1" applyBorder="1"/>
    <xf numFmtId="169" fontId="37" fillId="0" borderId="28" xfId="1" applyNumberFormat="1" applyFont="1" applyBorder="1" applyAlignment="1">
      <alignment horizontal="center"/>
    </xf>
    <xf numFmtId="0" fontId="41" fillId="10" borderId="13" xfId="0" applyFont="1" applyFill="1" applyBorder="1" applyAlignment="1">
      <alignment horizontal="center"/>
    </xf>
    <xf numFmtId="179" fontId="42" fillId="10" borderId="13" xfId="0" applyNumberFormat="1" applyFont="1" applyFill="1" applyBorder="1" applyAlignment="1">
      <alignment horizontal="center"/>
    </xf>
    <xf numFmtId="180" fontId="41" fillId="10" borderId="13" xfId="8" applyNumberFormat="1" applyFont="1" applyFill="1" applyBorder="1" applyAlignment="1">
      <alignment horizontal="center"/>
    </xf>
    <xf numFmtId="180" fontId="41" fillId="10" borderId="16" xfId="8" applyNumberFormat="1" applyFont="1" applyFill="1" applyBorder="1" applyAlignment="1">
      <alignment horizontal="center"/>
    </xf>
    <xf numFmtId="10" fontId="41" fillId="10" borderId="17" xfId="0" applyNumberFormat="1" applyFont="1" applyFill="1" applyBorder="1" applyAlignment="1">
      <alignment horizontal="center"/>
    </xf>
    <xf numFmtId="180" fontId="41" fillId="10" borderId="18" xfId="8" applyNumberFormat="1" applyFont="1" applyFill="1" applyBorder="1" applyAlignment="1">
      <alignment horizontal="center"/>
    </xf>
    <xf numFmtId="4" fontId="6" fillId="0" borderId="0" xfId="2" applyNumberFormat="1" applyFont="1"/>
    <xf numFmtId="0" fontId="6" fillId="6" borderId="0" xfId="2" applyFont="1" applyFill="1"/>
    <xf numFmtId="169" fontId="6" fillId="0" borderId="0" xfId="2" applyNumberFormat="1" applyFont="1"/>
    <xf numFmtId="0" fontId="31" fillId="0" borderId="28" xfId="0" applyFont="1" applyBorder="1"/>
    <xf numFmtId="10" fontId="31" fillId="0" borderId="28" xfId="0" applyNumberFormat="1" applyFont="1" applyBorder="1"/>
    <xf numFmtId="10" fontId="31" fillId="0" borderId="29" xfId="0" applyNumberFormat="1" applyFont="1" applyBorder="1"/>
    <xf numFmtId="180" fontId="42" fillId="10" borderId="13" xfId="8" applyNumberFormat="1" applyFont="1" applyFill="1" applyBorder="1" applyAlignment="1">
      <alignment horizontal="center" vertical="center"/>
    </xf>
    <xf numFmtId="179" fontId="31" fillId="0" borderId="13" xfId="0" applyNumberFormat="1" applyFont="1" applyBorder="1" applyAlignment="1">
      <alignment horizontal="center"/>
    </xf>
    <xf numFmtId="178" fontId="31" fillId="0" borderId="13" xfId="0" applyNumberFormat="1" applyFont="1" applyBorder="1" applyAlignment="1">
      <alignment horizontal="center"/>
    </xf>
    <xf numFmtId="0" fontId="41" fillId="5" borderId="66" xfId="0" applyFont="1" applyFill="1" applyBorder="1"/>
    <xf numFmtId="2" fontId="42" fillId="5" borderId="40" xfId="0" applyNumberFormat="1" applyFont="1" applyFill="1" applyBorder="1" applyAlignment="1">
      <alignment horizontal="center"/>
    </xf>
    <xf numFmtId="0" fontId="31" fillId="0" borderId="44" xfId="0" applyFont="1" applyBorder="1"/>
    <xf numFmtId="0" fontId="42" fillId="5" borderId="65" xfId="0" applyFont="1" applyFill="1" applyBorder="1" applyAlignment="1">
      <alignment horizontal="center"/>
    </xf>
    <xf numFmtId="0" fontId="41" fillId="5" borderId="53" xfId="0" applyFont="1" applyFill="1" applyBorder="1"/>
    <xf numFmtId="0" fontId="41" fillId="5" borderId="54" xfId="0" applyFont="1" applyFill="1" applyBorder="1"/>
    <xf numFmtId="2" fontId="42" fillId="5" borderId="54" xfId="0" applyNumberFormat="1" applyFont="1" applyFill="1" applyBorder="1" applyAlignment="1">
      <alignment horizontal="center"/>
    </xf>
    <xf numFmtId="0" fontId="42" fillId="5" borderId="54" xfId="0" applyFont="1" applyFill="1" applyBorder="1" applyAlignment="1">
      <alignment horizontal="center"/>
    </xf>
    <xf numFmtId="0" fontId="42" fillId="5" borderId="67" xfId="0" applyFont="1" applyFill="1" applyBorder="1" applyAlignment="1">
      <alignment horizontal="center"/>
    </xf>
    <xf numFmtId="0" fontId="31" fillId="0" borderId="45" xfId="0" applyFont="1" applyBorder="1"/>
    <xf numFmtId="0" fontId="33" fillId="5" borderId="68" xfId="0" applyFont="1" applyFill="1" applyBorder="1" applyAlignment="1">
      <alignment horizontal="center"/>
    </xf>
    <xf numFmtId="0" fontId="42" fillId="5" borderId="55" xfId="0" applyFont="1" applyFill="1" applyBorder="1" applyAlignment="1">
      <alignment horizontal="center"/>
    </xf>
    <xf numFmtId="180" fontId="7" fillId="0" borderId="31" xfId="1" applyNumberFormat="1" applyFont="1" applyBorder="1" applyAlignment="1">
      <alignment horizontal="center"/>
    </xf>
    <xf numFmtId="180" fontId="36" fillId="0" borderId="28" xfId="8" applyNumberFormat="1" applyFont="1" applyBorder="1" applyAlignment="1">
      <alignment horizontal="center"/>
    </xf>
    <xf numFmtId="180" fontId="9" fillId="0" borderId="31" xfId="3" applyNumberFormat="1" applyFont="1" applyBorder="1" applyAlignment="1">
      <alignment horizontal="center"/>
    </xf>
    <xf numFmtId="2" fontId="0" fillId="0" borderId="29" xfId="0" applyNumberFormat="1" applyBorder="1"/>
    <xf numFmtId="17" fontId="31" fillId="0" borderId="31" xfId="0" applyNumberFormat="1" applyFont="1" applyBorder="1"/>
    <xf numFmtId="2" fontId="0" fillId="0" borderId="30" xfId="0" applyNumberFormat="1" applyBorder="1"/>
    <xf numFmtId="0" fontId="23" fillId="0" borderId="16" xfId="2" applyFont="1" applyBorder="1"/>
    <xf numFmtId="169" fontId="45" fillId="0" borderId="14" xfId="0" applyNumberFormat="1" applyFont="1" applyBorder="1" applyAlignment="1">
      <alignment horizontal="center"/>
    </xf>
    <xf numFmtId="168" fontId="37" fillId="0" borderId="0" xfId="1" applyNumberFormat="1" applyFont="1" applyAlignment="1">
      <alignment horizontal="center"/>
    </xf>
    <xf numFmtId="0" fontId="7" fillId="2" borderId="0" xfId="2" applyFont="1" applyFill="1" applyAlignment="1">
      <alignment horizontal="left"/>
    </xf>
    <xf numFmtId="0" fontId="7" fillId="0" borderId="0" xfId="2" applyFont="1" applyAlignment="1">
      <alignment horizontal="left"/>
    </xf>
    <xf numFmtId="10" fontId="8" fillId="0" borderId="0" xfId="1" applyNumberFormat="1" applyFont="1"/>
    <xf numFmtId="0" fontId="37" fillId="0" borderId="35" xfId="2" applyFont="1" applyBorder="1" applyAlignment="1">
      <alignment horizontal="center"/>
    </xf>
    <xf numFmtId="0" fontId="7" fillId="4" borderId="27" xfId="2" applyFont="1" applyFill="1" applyBorder="1" applyAlignment="1">
      <alignment horizontal="right"/>
    </xf>
    <xf numFmtId="0" fontId="9" fillId="4" borderId="29" xfId="2" applyFont="1" applyFill="1" applyBorder="1" applyAlignment="1">
      <alignment horizontal="right"/>
    </xf>
    <xf numFmtId="0" fontId="7" fillId="4" borderId="29" xfId="2" applyFont="1" applyFill="1" applyBorder="1" applyAlignment="1">
      <alignment horizontal="right"/>
    </xf>
    <xf numFmtId="0" fontId="7" fillId="4" borderId="30" xfId="2" applyFont="1" applyFill="1" applyBorder="1" applyAlignment="1">
      <alignment horizontal="right"/>
    </xf>
    <xf numFmtId="180" fontId="7" fillId="0" borderId="0" xfId="3" applyNumberFormat="1" applyFont="1" applyAlignment="1">
      <alignment horizontal="center"/>
    </xf>
    <xf numFmtId="169" fontId="37" fillId="0" borderId="28" xfId="1" applyNumberFormat="1" applyFont="1" applyBorder="1"/>
    <xf numFmtId="167" fontId="8" fillId="7" borderId="35" xfId="1" applyNumberFormat="1" applyFont="1" applyFill="1" applyBorder="1" applyAlignment="1">
      <alignment horizontal="center"/>
    </xf>
    <xf numFmtId="167" fontId="8" fillId="7" borderId="28" xfId="1" applyNumberFormat="1" applyFont="1" applyFill="1" applyBorder="1" applyAlignment="1">
      <alignment horizontal="center"/>
    </xf>
    <xf numFmtId="166" fontId="9" fillId="0" borderId="28" xfId="1" applyFont="1" applyBorder="1" applyAlignment="1">
      <alignment horizontal="center"/>
    </xf>
    <xf numFmtId="180" fontId="7" fillId="0" borderId="31" xfId="3" applyNumberFormat="1" applyFont="1" applyBorder="1" applyAlignment="1">
      <alignment horizontal="center"/>
    </xf>
    <xf numFmtId="49" fontId="9" fillId="0" borderId="69" xfId="2" applyNumberFormat="1" applyFont="1" applyBorder="1"/>
    <xf numFmtId="177" fontId="37" fillId="0" borderId="35" xfId="2" applyNumberFormat="1" applyFont="1" applyBorder="1" applyAlignment="1">
      <alignment horizontal="center"/>
    </xf>
    <xf numFmtId="10" fontId="8" fillId="0" borderId="0" xfId="1" applyNumberFormat="1" applyFont="1" applyAlignment="1">
      <alignment horizontal="center"/>
    </xf>
    <xf numFmtId="178" fontId="6" fillId="0" borderId="0" xfId="2" applyNumberFormat="1" applyFont="1"/>
    <xf numFmtId="0" fontId="9" fillId="0" borderId="69" xfId="2" applyFont="1" applyBorder="1"/>
    <xf numFmtId="0" fontId="24" fillId="0" borderId="9" xfId="2" applyFont="1" applyBorder="1"/>
    <xf numFmtId="170" fontId="24" fillId="0" borderId="20" xfId="2" applyNumberFormat="1" applyFont="1" applyBorder="1" applyAlignment="1">
      <alignment horizontal="center"/>
    </xf>
    <xf numFmtId="169" fontId="26" fillId="4" borderId="9" xfId="1" applyNumberFormat="1" applyFont="1" applyFill="1" applyBorder="1"/>
    <xf numFmtId="0" fontId="27" fillId="0" borderId="0" xfId="2" applyFont="1"/>
    <xf numFmtId="168" fontId="9" fillId="0" borderId="0" xfId="1" applyNumberFormat="1" applyFont="1" applyAlignment="1">
      <alignment horizontal="center"/>
    </xf>
    <xf numFmtId="167" fontId="37" fillId="0" borderId="0" xfId="1" applyNumberFormat="1" applyFont="1"/>
    <xf numFmtId="0" fontId="42" fillId="10" borderId="17" xfId="0" applyFont="1" applyFill="1" applyBorder="1"/>
    <xf numFmtId="0" fontId="6" fillId="0" borderId="70" xfId="2" applyFont="1" applyBorder="1"/>
    <xf numFmtId="178" fontId="6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80" fontId="7" fillId="0" borderId="0" xfId="3" applyNumberFormat="1" applyFont="1" applyAlignment="1">
      <alignment horizontal="center" vertical="center"/>
    </xf>
    <xf numFmtId="167" fontId="6" fillId="6" borderId="0" xfId="1" applyNumberFormat="1" applyFont="1" applyFill="1"/>
    <xf numFmtId="0" fontId="42" fillId="6" borderId="17" xfId="0" applyFont="1" applyFill="1" applyBorder="1"/>
    <xf numFmtId="169" fontId="32" fillId="15" borderId="14" xfId="0" applyNumberFormat="1" applyFont="1" applyFill="1" applyBorder="1" applyAlignment="1">
      <alignment horizontal="center"/>
    </xf>
    <xf numFmtId="169" fontId="45" fillId="15" borderId="14" xfId="0" applyNumberFormat="1" applyFont="1" applyFill="1" applyBorder="1" applyAlignment="1">
      <alignment horizontal="center"/>
    </xf>
    <xf numFmtId="9" fontId="30" fillId="0" borderId="0" xfId="0" applyNumberFormat="1" applyFont="1"/>
    <xf numFmtId="1" fontId="6" fillId="5" borderId="17" xfId="2" applyNumberFormat="1" applyFont="1" applyFill="1" applyBorder="1" applyAlignment="1">
      <alignment horizontal="center"/>
    </xf>
    <xf numFmtId="0" fontId="5" fillId="0" borderId="0" xfId="2" applyFont="1"/>
    <xf numFmtId="169" fontId="32" fillId="15" borderId="0" xfId="0" applyNumberFormat="1" applyFont="1" applyFill="1" applyAlignment="1">
      <alignment horizontal="center"/>
    </xf>
    <xf numFmtId="0" fontId="31" fillId="0" borderId="0" xfId="0" applyFont="1" applyAlignment="1">
      <alignment horizontal="center"/>
    </xf>
    <xf numFmtId="0" fontId="18" fillId="0" borderId="31" xfId="0" applyFont="1" applyBorder="1"/>
    <xf numFmtId="0" fontId="9" fillId="4" borderId="17" xfId="2" applyFont="1" applyFill="1" applyBorder="1" applyAlignment="1">
      <alignment horizontal="center"/>
    </xf>
    <xf numFmtId="2" fontId="9" fillId="4" borderId="17" xfId="2" applyNumberFormat="1" applyFont="1" applyFill="1" applyBorder="1" applyAlignment="1">
      <alignment horizontal="center"/>
    </xf>
    <xf numFmtId="175" fontId="9" fillId="0" borderId="17" xfId="2" applyNumberFormat="1" applyFont="1" applyBorder="1" applyAlignment="1">
      <alignment horizontal="center"/>
    </xf>
    <xf numFmtId="2" fontId="7" fillId="4" borderId="17" xfId="2" applyNumberFormat="1" applyFont="1" applyFill="1" applyBorder="1" applyAlignment="1">
      <alignment horizontal="center"/>
    </xf>
    <xf numFmtId="175" fontId="0" fillId="0" borderId="17" xfId="0" applyNumberFormat="1" applyBorder="1" applyAlignment="1">
      <alignment horizontal="center"/>
    </xf>
    <xf numFmtId="0" fontId="7" fillId="4" borderId="17" xfId="2" applyFont="1" applyFill="1" applyBorder="1" applyAlignment="1">
      <alignment horizontal="center"/>
    </xf>
    <xf numFmtId="183" fontId="20" fillId="0" borderId="17" xfId="2" applyNumberFormat="1" applyFont="1" applyBorder="1" applyAlignment="1">
      <alignment horizontal="center"/>
    </xf>
    <xf numFmtId="175" fontId="48" fillId="0" borderId="17" xfId="2" applyNumberFormat="1" applyFont="1" applyBorder="1" applyAlignment="1">
      <alignment horizontal="center"/>
    </xf>
    <xf numFmtId="183" fontId="49" fillId="0" borderId="17" xfId="2" applyNumberFormat="1" applyFont="1" applyBorder="1" applyAlignment="1">
      <alignment horizontal="center"/>
    </xf>
    <xf numFmtId="177" fontId="6" fillId="5" borderId="17" xfId="2" applyNumberFormat="1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10" fontId="18" fillId="0" borderId="0" xfId="0" applyNumberFormat="1" applyFont="1"/>
    <xf numFmtId="10" fontId="18" fillId="0" borderId="29" xfId="0" applyNumberFormat="1" applyFont="1" applyBorder="1"/>
    <xf numFmtId="2" fontId="18" fillId="0" borderId="45" xfId="0" applyNumberFormat="1" applyFont="1" applyBorder="1"/>
    <xf numFmtId="10" fontId="18" fillId="0" borderId="30" xfId="0" applyNumberFormat="1" applyFont="1" applyBorder="1"/>
    <xf numFmtId="0" fontId="50" fillId="0" borderId="42" xfId="0" applyFont="1" applyBorder="1" applyAlignment="1">
      <alignment horizontal="center"/>
    </xf>
    <xf numFmtId="2" fontId="51" fillId="0" borderId="0" xfId="0" applyNumberFormat="1" applyFont="1"/>
    <xf numFmtId="10" fontId="51" fillId="0" borderId="0" xfId="0" applyNumberFormat="1" applyFont="1"/>
    <xf numFmtId="0" fontId="19" fillId="0" borderId="0" xfId="0" applyFont="1"/>
    <xf numFmtId="1" fontId="41" fillId="0" borderId="54" xfId="0" applyNumberFormat="1" applyFont="1" applyBorder="1" applyAlignment="1">
      <alignment horizontal="center"/>
    </xf>
    <xf numFmtId="1" fontId="41" fillId="0" borderId="53" xfId="0" applyNumberFormat="1" applyFont="1" applyBorder="1" applyAlignment="1">
      <alignment horizontal="center"/>
    </xf>
    <xf numFmtId="184" fontId="41" fillId="10" borderId="13" xfId="0" applyNumberFormat="1" applyFont="1" applyFill="1" applyBorder="1" applyAlignment="1">
      <alignment horizontal="center"/>
    </xf>
    <xf numFmtId="184" fontId="41" fillId="10" borderId="18" xfId="0" applyNumberFormat="1" applyFont="1" applyFill="1" applyBorder="1" applyAlignment="1">
      <alignment horizontal="center"/>
    </xf>
    <xf numFmtId="184" fontId="41" fillId="0" borderId="40" xfId="0" applyNumberFormat="1" applyFont="1" applyBorder="1" applyAlignment="1">
      <alignment horizontal="center"/>
    </xf>
    <xf numFmtId="184" fontId="41" fillId="0" borderId="54" xfId="0" applyNumberFormat="1" applyFont="1" applyBorder="1" applyAlignment="1">
      <alignment horizontal="center"/>
    </xf>
    <xf numFmtId="184" fontId="41" fillId="0" borderId="17" xfId="0" applyNumberFormat="1" applyFont="1" applyBorder="1" applyAlignment="1">
      <alignment horizontal="center"/>
    </xf>
    <xf numFmtId="180" fontId="52" fillId="17" borderId="17" xfId="8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6" fillId="0" borderId="0" xfId="2" applyNumberFormat="1" applyFont="1" applyAlignment="1">
      <alignment horizontal="center"/>
    </xf>
    <xf numFmtId="10" fontId="6" fillId="0" borderId="0" xfId="2" applyNumberFormat="1" applyFont="1" applyAlignment="1">
      <alignment horizontal="center"/>
    </xf>
    <xf numFmtId="2" fontId="6" fillId="0" borderId="0" xfId="2" applyNumberFormat="1" applyFont="1" applyAlignment="1">
      <alignment horizontal="center"/>
    </xf>
    <xf numFmtId="179" fontId="6" fillId="0" borderId="0" xfId="2" applyNumberFormat="1" applyFont="1"/>
    <xf numFmtId="179" fontId="6" fillId="0" borderId="0" xfId="2" applyNumberFormat="1" applyFont="1" applyAlignment="1">
      <alignment horizontal="center" vertical="center"/>
    </xf>
    <xf numFmtId="179" fontId="6" fillId="0" borderId="70" xfId="2" applyNumberFormat="1" applyFont="1" applyBorder="1" applyAlignment="1">
      <alignment horizontal="center" vertical="center"/>
    </xf>
    <xf numFmtId="179" fontId="6" fillId="18" borderId="0" xfId="2" applyNumberFormat="1" applyFont="1" applyFill="1"/>
    <xf numFmtId="179" fontId="6" fillId="18" borderId="70" xfId="2" applyNumberFormat="1" applyFont="1" applyFill="1" applyBorder="1" applyAlignment="1">
      <alignment horizontal="center" vertical="center"/>
    </xf>
    <xf numFmtId="179" fontId="6" fillId="19" borderId="0" xfId="2" applyNumberFormat="1" applyFont="1" applyFill="1"/>
    <xf numFmtId="179" fontId="6" fillId="19" borderId="70" xfId="2" applyNumberFormat="1" applyFont="1" applyFill="1" applyBorder="1" applyAlignment="1">
      <alignment horizontal="center" vertical="center"/>
    </xf>
    <xf numFmtId="10" fontId="6" fillId="0" borderId="70" xfId="2" applyNumberFormat="1" applyFont="1" applyBorder="1" applyAlignment="1">
      <alignment horizontal="center" vertical="center"/>
    </xf>
    <xf numFmtId="10" fontId="6" fillId="18" borderId="70" xfId="2" applyNumberFormat="1" applyFont="1" applyFill="1" applyBorder="1" applyAlignment="1">
      <alignment horizontal="center" vertical="center"/>
    </xf>
    <xf numFmtId="10" fontId="6" fillId="19" borderId="70" xfId="2" applyNumberFormat="1" applyFont="1" applyFill="1" applyBorder="1" applyAlignment="1">
      <alignment horizontal="center" vertical="center"/>
    </xf>
    <xf numFmtId="0" fontId="6" fillId="20" borderId="0" xfId="2" applyFont="1" applyFill="1" applyAlignment="1">
      <alignment horizontal="center" vertical="center"/>
    </xf>
    <xf numFmtId="0" fontId="6" fillId="20" borderId="0" xfId="2" applyFont="1" applyFill="1"/>
    <xf numFmtId="178" fontId="6" fillId="20" borderId="0" xfId="2" applyNumberFormat="1" applyFont="1" applyFill="1" applyAlignment="1">
      <alignment horizontal="center" vertical="center"/>
    </xf>
    <xf numFmtId="178" fontId="6" fillId="20" borderId="0" xfId="2" applyNumberFormat="1" applyFont="1" applyFill="1"/>
    <xf numFmtId="10" fontId="6" fillId="20" borderId="0" xfId="2" applyNumberFormat="1" applyFont="1" applyFill="1" applyAlignment="1">
      <alignment horizontal="center" vertical="center"/>
    </xf>
    <xf numFmtId="0" fontId="6" fillId="19" borderId="0" xfId="2" applyFont="1" applyFill="1" applyAlignment="1">
      <alignment horizontal="center"/>
    </xf>
    <xf numFmtId="167" fontId="6" fillId="19" borderId="0" xfId="2" applyNumberFormat="1" applyFont="1" applyFill="1"/>
    <xf numFmtId="0" fontId="6" fillId="19" borderId="0" xfId="2" applyFont="1" applyFill="1"/>
    <xf numFmtId="178" fontId="6" fillId="19" borderId="0" xfId="2" applyNumberFormat="1" applyFont="1" applyFill="1"/>
    <xf numFmtId="178" fontId="6" fillId="19" borderId="0" xfId="2" applyNumberFormat="1" applyFont="1" applyFill="1" applyAlignment="1">
      <alignment horizontal="center" vertical="center"/>
    </xf>
    <xf numFmtId="10" fontId="6" fillId="19" borderId="0" xfId="2" applyNumberFormat="1" applyFont="1" applyFill="1"/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10" fontId="6" fillId="0" borderId="37" xfId="2" applyNumberFormat="1" applyFont="1" applyBorder="1" applyAlignment="1">
      <alignment horizontal="center" vertical="center"/>
    </xf>
    <xf numFmtId="10" fontId="6" fillId="0" borderId="37" xfId="2" applyNumberFormat="1" applyFont="1" applyBorder="1" applyAlignment="1">
      <alignment horizontal="center"/>
    </xf>
    <xf numFmtId="0" fontId="16" fillId="6" borderId="41" xfId="2" applyFont="1" applyFill="1" applyBorder="1" applyAlignment="1">
      <alignment horizontal="center"/>
    </xf>
    <xf numFmtId="0" fontId="16" fillId="6" borderId="42" xfId="2" applyFont="1" applyFill="1" applyBorder="1" applyAlignment="1">
      <alignment horizontal="center"/>
    </xf>
    <xf numFmtId="0" fontId="16" fillId="6" borderId="43" xfId="2" applyFont="1" applyFill="1" applyBorder="1" applyAlignment="1">
      <alignment horizontal="center"/>
    </xf>
    <xf numFmtId="0" fontId="7" fillId="2" borderId="0" xfId="2" applyFont="1" applyFill="1" applyAlignment="1">
      <alignment horizontal="left"/>
    </xf>
    <xf numFmtId="0" fontId="9" fillId="2" borderId="0" xfId="2" applyFont="1" applyFill="1" applyAlignment="1">
      <alignment horizontal="left"/>
    </xf>
    <xf numFmtId="0" fontId="12" fillId="0" borderId="10" xfId="0" applyFont="1" applyBorder="1" applyAlignment="1">
      <alignment horizontal="center"/>
    </xf>
    <xf numFmtId="0" fontId="8" fillId="16" borderId="41" xfId="2" applyFont="1" applyFill="1" applyBorder="1" applyAlignment="1">
      <alignment horizontal="center"/>
    </xf>
    <xf numFmtId="0" fontId="8" fillId="16" borderId="42" xfId="2" applyFont="1" applyFill="1" applyBorder="1" applyAlignment="1">
      <alignment horizontal="center"/>
    </xf>
    <xf numFmtId="0" fontId="8" fillId="16" borderId="43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39" fillId="5" borderId="41" xfId="0" applyFont="1" applyFill="1" applyBorder="1" applyAlignment="1">
      <alignment horizontal="center"/>
    </xf>
    <xf numFmtId="0" fontId="39" fillId="5" borderId="42" xfId="0" applyFont="1" applyFill="1" applyBorder="1" applyAlignment="1">
      <alignment horizontal="center"/>
    </xf>
    <xf numFmtId="0" fontId="39" fillId="5" borderId="4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9" fillId="5" borderId="35" xfId="0" applyFont="1" applyFill="1" applyBorder="1" applyAlignment="1">
      <alignment horizontal="center"/>
    </xf>
    <xf numFmtId="0" fontId="39" fillId="5" borderId="27" xfId="0" applyFont="1" applyFill="1" applyBorder="1" applyAlignment="1">
      <alignment horizontal="center"/>
    </xf>
    <xf numFmtId="0" fontId="39" fillId="5" borderId="44" xfId="0" applyFont="1" applyFill="1" applyBorder="1" applyAlignment="1">
      <alignment horizontal="center"/>
    </xf>
    <xf numFmtId="0" fontId="33" fillId="5" borderId="18" xfId="0" applyFont="1" applyFill="1" applyBorder="1" applyAlignment="1">
      <alignment horizontal="left" vertical="center" wrapText="1"/>
    </xf>
    <xf numFmtId="0" fontId="33" fillId="5" borderId="13" xfId="0" applyFont="1" applyFill="1" applyBorder="1" applyAlignment="1">
      <alignment horizontal="left" vertical="center" wrapText="1"/>
    </xf>
    <xf numFmtId="180" fontId="41" fillId="10" borderId="18" xfId="8" applyNumberFormat="1" applyFont="1" applyFill="1" applyBorder="1" applyAlignment="1">
      <alignment horizontal="center" vertical="center"/>
    </xf>
    <xf numFmtId="180" fontId="41" fillId="10" borderId="13" xfId="8" applyNumberFormat="1" applyFont="1" applyFill="1" applyBorder="1" applyAlignment="1">
      <alignment horizontal="center" vertical="center"/>
    </xf>
    <xf numFmtId="0" fontId="42" fillId="10" borderId="71" xfId="0" applyFont="1" applyFill="1" applyBorder="1" applyAlignment="1">
      <alignment horizontal="left" vertical="center" wrapText="1"/>
    </xf>
    <xf numFmtId="0" fontId="42" fillId="10" borderId="56" xfId="0" applyFont="1" applyFill="1" applyBorder="1" applyAlignment="1">
      <alignment horizontal="left" vertical="center" wrapText="1"/>
    </xf>
    <xf numFmtId="180" fontId="41" fillId="0" borderId="18" xfId="8" applyNumberFormat="1" applyFont="1" applyBorder="1" applyAlignment="1">
      <alignment horizontal="center" vertical="center"/>
    </xf>
    <xf numFmtId="180" fontId="41" fillId="0" borderId="13" xfId="8" applyNumberFormat="1" applyFont="1" applyBorder="1" applyAlignment="1">
      <alignment horizontal="center" vertical="center"/>
    </xf>
    <xf numFmtId="0" fontId="42" fillId="5" borderId="71" xfId="0" applyFont="1" applyFill="1" applyBorder="1" applyAlignment="1">
      <alignment horizontal="left" vertical="center" wrapText="1"/>
    </xf>
    <xf numFmtId="0" fontId="42" fillId="5" borderId="56" xfId="0" applyFont="1" applyFill="1" applyBorder="1" applyAlignment="1">
      <alignment horizontal="left" vertical="center" wrapText="1"/>
    </xf>
    <xf numFmtId="180" fontId="41" fillId="8" borderId="18" xfId="8" applyNumberFormat="1" applyFont="1" applyFill="1" applyBorder="1" applyAlignment="1">
      <alignment horizontal="center" vertical="center"/>
    </xf>
    <xf numFmtId="180" fontId="41" fillId="8" borderId="13" xfId="8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19" fillId="5" borderId="31" xfId="0" applyFont="1" applyFill="1" applyBorder="1" applyAlignment="1">
      <alignment horizontal="center"/>
    </xf>
    <xf numFmtId="0" fontId="19" fillId="5" borderId="45" xfId="0" applyFont="1" applyFill="1" applyBorder="1" applyAlignment="1">
      <alignment horizontal="center"/>
    </xf>
    <xf numFmtId="0" fontId="19" fillId="5" borderId="30" xfId="0" applyFont="1" applyFill="1" applyBorder="1" applyAlignment="1">
      <alignment horizontal="center"/>
    </xf>
    <xf numFmtId="0" fontId="42" fillId="10" borderId="72" xfId="0" applyFont="1" applyFill="1" applyBorder="1" applyAlignment="1">
      <alignment horizontal="left" vertical="center" wrapText="1"/>
    </xf>
    <xf numFmtId="0" fontId="42" fillId="5" borderId="66" xfId="0" applyFont="1" applyFill="1" applyBorder="1" applyAlignment="1">
      <alignment horizontal="left" vertical="center" wrapText="1"/>
    </xf>
    <xf numFmtId="0" fontId="42" fillId="5" borderId="53" xfId="0" applyFont="1" applyFill="1" applyBorder="1" applyAlignment="1">
      <alignment horizontal="left" vertical="center" wrapText="1"/>
    </xf>
    <xf numFmtId="10" fontId="41" fillId="10" borderId="18" xfId="8" applyNumberFormat="1" applyFont="1" applyFill="1" applyBorder="1" applyAlignment="1">
      <alignment horizontal="center" vertical="center"/>
    </xf>
    <xf numFmtId="10" fontId="41" fillId="10" borderId="13" xfId="8" applyNumberFormat="1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33" fillId="5" borderId="39" xfId="0" applyFont="1" applyFill="1" applyBorder="1" applyAlignment="1">
      <alignment horizontal="center"/>
    </xf>
    <xf numFmtId="0" fontId="33" fillId="5" borderId="73" xfId="0" applyFont="1" applyFill="1" applyBorder="1" applyAlignment="1">
      <alignment horizontal="center"/>
    </xf>
    <xf numFmtId="0" fontId="33" fillId="5" borderId="74" xfId="0" applyFont="1" applyFill="1" applyBorder="1" applyAlignment="1">
      <alignment horizontal="center"/>
    </xf>
    <xf numFmtId="0" fontId="33" fillId="5" borderId="16" xfId="0" applyFont="1" applyFill="1" applyBorder="1" applyAlignment="1">
      <alignment horizontal="left" vertical="center" wrapText="1"/>
    </xf>
    <xf numFmtId="0" fontId="19" fillId="5" borderId="35" xfId="0" applyFont="1" applyFill="1" applyBorder="1" applyAlignment="1">
      <alignment horizontal="center"/>
    </xf>
    <xf numFmtId="0" fontId="19" fillId="5" borderId="44" xfId="0" applyFont="1" applyFill="1" applyBorder="1" applyAlignment="1">
      <alignment horizontal="center"/>
    </xf>
    <xf numFmtId="0" fontId="19" fillId="5" borderId="27" xfId="0" applyFont="1" applyFill="1" applyBorder="1" applyAlignment="1">
      <alignment horizontal="center"/>
    </xf>
    <xf numFmtId="0" fontId="19" fillId="5" borderId="41" xfId="0" applyFont="1" applyFill="1" applyBorder="1" applyAlignment="1">
      <alignment horizontal="center"/>
    </xf>
    <xf numFmtId="0" fontId="19" fillId="5" borderId="42" xfId="0" applyFont="1" applyFill="1" applyBorder="1" applyAlignment="1">
      <alignment horizontal="center"/>
    </xf>
    <xf numFmtId="0" fontId="19" fillId="5" borderId="43" xfId="0" applyFont="1" applyFill="1" applyBorder="1" applyAlignment="1">
      <alignment horizontal="center"/>
    </xf>
    <xf numFmtId="0" fontId="31" fillId="0" borderId="41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10" fontId="31" fillId="0" borderId="25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0" fontId="31" fillId="0" borderId="24" xfId="0" applyNumberFormat="1" applyFont="1" applyBorder="1" applyAlignment="1">
      <alignment horizontal="center" vertical="center"/>
    </xf>
    <xf numFmtId="180" fontId="41" fillId="0" borderId="24" xfId="8" applyNumberFormat="1" applyFont="1" applyBorder="1" applyAlignment="1">
      <alignment horizontal="center" vertical="center"/>
    </xf>
    <xf numFmtId="180" fontId="41" fillId="0" borderId="26" xfId="8" applyNumberFormat="1" applyFont="1" applyBorder="1" applyAlignment="1">
      <alignment horizontal="center" vertical="center"/>
    </xf>
    <xf numFmtId="10" fontId="31" fillId="0" borderId="26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7" fillId="6" borderId="0" xfId="2" applyFont="1" applyFill="1" applyAlignment="1">
      <alignment horizontal="center"/>
    </xf>
    <xf numFmtId="0" fontId="7" fillId="4" borderId="0" xfId="2" applyFont="1" applyFill="1" applyAlignment="1">
      <alignment horizontal="left"/>
    </xf>
    <xf numFmtId="0" fontId="7" fillId="4" borderId="34" xfId="2" applyFont="1" applyFill="1" applyBorder="1" applyAlignment="1">
      <alignment horizontal="left"/>
    </xf>
    <xf numFmtId="0" fontId="6" fillId="16" borderId="41" xfId="2" applyFont="1" applyFill="1" applyBorder="1" applyAlignment="1">
      <alignment horizontal="center"/>
    </xf>
    <xf numFmtId="0" fontId="6" fillId="16" borderId="42" xfId="2" applyFont="1" applyFill="1" applyBorder="1" applyAlignment="1">
      <alignment horizontal="center"/>
    </xf>
    <xf numFmtId="0" fontId="6" fillId="16" borderId="43" xfId="2" applyFont="1" applyFill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7" fillId="4" borderId="44" xfId="2" applyFont="1" applyFill="1" applyBorder="1" applyAlignment="1">
      <alignment horizontal="center" vertical="center"/>
    </xf>
    <xf numFmtId="0" fontId="7" fillId="4" borderId="27" xfId="2" applyFont="1" applyFill="1" applyBorder="1" applyAlignment="1">
      <alignment horizontal="center" vertical="center"/>
    </xf>
    <xf numFmtId="0" fontId="7" fillId="4" borderId="45" xfId="2" applyFont="1" applyFill="1" applyBorder="1" applyAlignment="1">
      <alignment horizontal="center" vertical="center"/>
    </xf>
    <xf numFmtId="0" fontId="7" fillId="4" borderId="30" xfId="2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25" fillId="4" borderId="9" xfId="2" applyFont="1" applyFill="1" applyBorder="1" applyAlignment="1">
      <alignment horizontal="center"/>
    </xf>
    <xf numFmtId="0" fontId="7" fillId="0" borderId="62" xfId="2" applyFont="1" applyBorder="1" applyAlignment="1">
      <alignment horizontal="center"/>
    </xf>
    <xf numFmtId="0" fontId="7" fillId="0" borderId="9" xfId="2" applyFont="1" applyBorder="1" applyAlignment="1">
      <alignment horizontal="center"/>
    </xf>
    <xf numFmtId="0" fontId="7" fillId="0" borderId="47" xfId="2" applyFont="1" applyBorder="1" applyAlignment="1">
      <alignment horizontal="center"/>
    </xf>
    <xf numFmtId="0" fontId="48" fillId="0" borderId="59" xfId="2" applyFont="1" applyBorder="1" applyAlignment="1">
      <alignment horizontal="center"/>
    </xf>
    <xf numFmtId="0" fontId="48" fillId="0" borderId="60" xfId="2" applyFont="1" applyBorder="1" applyAlignment="1">
      <alignment horizontal="center"/>
    </xf>
    <xf numFmtId="0" fontId="48" fillId="0" borderId="61" xfId="2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4" borderId="9" xfId="2" applyFont="1" applyFill="1" applyBorder="1" applyAlignment="1">
      <alignment horizontal="center"/>
    </xf>
    <xf numFmtId="167" fontId="8" fillId="0" borderId="0" xfId="1" applyNumberFormat="1" applyFont="1" applyAlignment="1">
      <alignment horizontal="center"/>
    </xf>
    <xf numFmtId="0" fontId="7" fillId="4" borderId="35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/>
    </xf>
    <xf numFmtId="0" fontId="7" fillId="0" borderId="11" xfId="2" applyFont="1" applyBorder="1" applyAlignment="1">
      <alignment horizontal="center"/>
    </xf>
    <xf numFmtId="0" fontId="7" fillId="2" borderId="34" xfId="2" applyFont="1" applyFill="1" applyBorder="1" applyAlignment="1">
      <alignment horizontal="left"/>
    </xf>
    <xf numFmtId="0" fontId="9" fillId="2" borderId="2" xfId="2" applyFont="1" applyFill="1" applyBorder="1" applyAlignment="1">
      <alignment horizontal="left"/>
    </xf>
    <xf numFmtId="49" fontId="9" fillId="0" borderId="41" xfId="2" applyNumberFormat="1" applyFont="1" applyBorder="1" applyAlignment="1">
      <alignment horizontal="center"/>
    </xf>
    <xf numFmtId="49" fontId="9" fillId="0" borderId="42" xfId="2" applyNumberFormat="1" applyFont="1" applyBorder="1" applyAlignment="1">
      <alignment horizontal="center"/>
    </xf>
    <xf numFmtId="49" fontId="9" fillId="0" borderId="43" xfId="2" applyNumberFormat="1" applyFont="1" applyBorder="1" applyAlignment="1">
      <alignment horizontal="center"/>
    </xf>
    <xf numFmtId="0" fontId="7" fillId="2" borderId="9" xfId="2" applyFont="1" applyFill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8" fillId="0" borderId="10" xfId="2" applyFont="1" applyBorder="1" applyAlignment="1">
      <alignment horizontal="center"/>
    </xf>
    <xf numFmtId="0" fontId="7" fillId="0" borderId="0" xfId="2" applyFont="1" applyAlignment="1">
      <alignment horizontal="center" vertical="center"/>
    </xf>
    <xf numFmtId="0" fontId="8" fillId="0" borderId="8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0" fontId="8" fillId="0" borderId="11" xfId="2" applyFont="1" applyBorder="1" applyAlignment="1">
      <alignment horizontal="center"/>
    </xf>
    <xf numFmtId="0" fontId="7" fillId="2" borderId="0" xfId="2" applyFont="1" applyFill="1" applyAlignment="1">
      <alignment horizontal="center"/>
    </xf>
    <xf numFmtId="167" fontId="8" fillId="7" borderId="0" xfId="1" applyNumberFormat="1" applyFont="1" applyFill="1" applyAlignment="1">
      <alignment horizontal="center"/>
    </xf>
    <xf numFmtId="167" fontId="6" fillId="0" borderId="0" xfId="1" applyNumberFormat="1" applyFont="1" applyAlignment="1">
      <alignment horizontal="center"/>
    </xf>
  </cellXfs>
  <cellStyles count="10">
    <cellStyle name="Excel Built-in Currency" xfId="1" xr:uid="{00000000-0005-0000-0000-000001000000}"/>
    <cellStyle name="Excel Built-in Normal" xfId="2" xr:uid="{00000000-0005-0000-0000-000002000000}"/>
    <cellStyle name="Excel Built-in Percent" xfId="3" xr:uid="{00000000-0005-0000-0000-000003000000}"/>
    <cellStyle name="Moneda" xfId="4" builtinId="4"/>
    <cellStyle name="Moneda 2" xfId="5" xr:uid="{00000000-0005-0000-0000-000004000000}"/>
    <cellStyle name="Moneda 3" xfId="6" xr:uid="{00000000-0005-0000-0000-000005000000}"/>
    <cellStyle name="Neutral" xfId="7" builtinId="28" customBuiltin="1"/>
    <cellStyle name="Normal" xfId="0" builtinId="0"/>
    <cellStyle name="Porcentaje" xfId="8" builtinId="5"/>
    <cellStyle name="Total" xfId="9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BFBFB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5B3D7"/>
      <rgbColor rgb="00FF99CC"/>
      <rgbColor rgb="00B3B3B3"/>
      <rgbColor rgb="00C4BD97"/>
      <rgbColor rgb="003366FF"/>
      <rgbColor rgb="0033CCCC"/>
      <rgbColor rgb="0099CC00"/>
      <rgbColor rgb="00FF950E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jgandini/Downloads/Users/jgandini.ALEA/AppData/Local/Microsoft/Windows/Temporary%20Internet%20Files/Content.Outlook/PE9XG2RW/Copia%20de%20ASOCIADAS.xls" TargetMode="External"/><Relationship Id="rId1" Type="http://schemas.openxmlformats.org/officeDocument/2006/relationships/externalLinkPath" Target="/Users/jgandini/Downloads/Users/jgandini.ALEA/AppData/Local/Microsoft/Windows/Temporary%20Internet%20Files/Content.Outlook/PE9XG2RW/Copia%20de%20ASOCIAD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iembras/campa&#241;a%2017-18/Flujo%20camp%2017-18.xlsx" TargetMode="External"/><Relationship Id="rId1" Type="http://schemas.openxmlformats.org/officeDocument/2006/relationships/externalLinkPath" Target="/Siembras/campa&#241;a%2017-18/Flujo%20camp%2017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 Proy"/>
      <sheetName val="CASH FLOW"/>
      <sheetName val="Cotizaciones"/>
      <sheetName val="Cebada SP"/>
      <sheetName val="Cebada SS "/>
      <sheetName val="Soja 2da. C"/>
      <sheetName val="Trigo SP"/>
      <sheetName val="Soja 2da. T"/>
      <sheetName val="Colza SP"/>
      <sheetName val="Colza SS"/>
      <sheetName val="Soja 2da. Co"/>
      <sheetName val="Maiz SP"/>
      <sheetName val="Girasol SP"/>
      <sheetName val="Girasol SS"/>
      <sheetName val="Girasol O SP"/>
      <sheetName val="Girasol O SS"/>
      <sheetName val="Soja SP"/>
      <sheetName val="Soja SS"/>
      <sheetName val="Trigo SS"/>
    </sheetNames>
    <sheetDataSet>
      <sheetData sheetId="0"/>
      <sheetData sheetId="1"/>
      <sheetData sheetId="2" refreshError="1">
        <row r="5">
          <cell r="B5">
            <v>5.3</v>
          </cell>
        </row>
      </sheetData>
      <sheetData sheetId="3" refreshError="1">
        <row r="30">
          <cell r="E30">
            <v>52.5</v>
          </cell>
        </row>
        <row r="46">
          <cell r="E46">
            <v>0</v>
          </cell>
        </row>
        <row r="62">
          <cell r="E62">
            <v>131.13584905660377</v>
          </cell>
        </row>
      </sheetData>
      <sheetData sheetId="4"/>
      <sheetData sheetId="5" refreshError="1">
        <row r="28">
          <cell r="E28">
            <v>22.4</v>
          </cell>
        </row>
        <row r="44">
          <cell r="E44">
            <v>5.1179999999999994</v>
          </cell>
        </row>
      </sheetData>
      <sheetData sheetId="6" refreshError="1">
        <row r="30">
          <cell r="E30">
            <v>50.35</v>
          </cell>
        </row>
        <row r="46">
          <cell r="E46">
            <v>78.844999999999999</v>
          </cell>
        </row>
        <row r="62">
          <cell r="E62">
            <v>11.034707018867925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ujo Arrend"/>
      <sheetName val="Alquileres por campo"/>
      <sheetName val="Flujo Finanzas"/>
      <sheetName val="Arrend x QQ"/>
    </sheetNames>
    <sheetDataSet>
      <sheetData sheetId="0"/>
      <sheetData sheetId="1" refreshError="1">
        <row r="56">
          <cell r="D56"/>
          <cell r="E56"/>
          <cell r="F56"/>
          <cell r="G56">
            <v>1950.1650000000002</v>
          </cell>
          <cell r="H56">
            <v>1950.1650000000002</v>
          </cell>
          <cell r="I56">
            <v>1950.1650000000002</v>
          </cell>
          <cell r="J56">
            <v>1950.1650000000002</v>
          </cell>
          <cell r="K56">
            <v>1950.1650000000002</v>
          </cell>
          <cell r="L56">
            <v>1950.1650000000002</v>
          </cell>
          <cell r="M56">
            <v>1950.1650000000002</v>
          </cell>
          <cell r="N56">
            <v>1950.1650000000002</v>
          </cell>
          <cell r="O56">
            <v>1950.1650000000002</v>
          </cell>
          <cell r="P56">
            <v>1950.1650000000002</v>
          </cell>
          <cell r="Q56"/>
          <cell r="R56"/>
          <cell r="S56">
            <v>19501.650000000001</v>
          </cell>
        </row>
        <row r="58"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>
            <v>0</v>
          </cell>
        </row>
        <row r="60"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>
            <v>0</v>
          </cell>
        </row>
        <row r="62"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>
            <v>1182540.176</v>
          </cell>
        </row>
        <row r="64">
          <cell r="S64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"/>
  <sheetViews>
    <sheetView topLeftCell="A5" zoomScale="90" workbookViewId="0">
      <selection activeCell="B15" sqref="B15"/>
    </sheetView>
  </sheetViews>
  <sheetFormatPr baseColWidth="10" defaultColWidth="9.109375" defaultRowHeight="14.4" x14ac:dyDescent="0.3"/>
  <cols>
    <col min="1" max="1" width="20.88671875" bestFit="1" customWidth="1"/>
    <col min="2" max="2" width="8.44140625" style="100" customWidth="1"/>
    <col min="3" max="3" width="10" style="100" bestFit="1" customWidth="1"/>
    <col min="4" max="4" width="21.44140625" style="100" customWidth="1"/>
    <col min="5" max="5" width="10.5546875" style="100" bestFit="1" customWidth="1"/>
    <col min="6" max="6" width="9.44140625" style="100" customWidth="1"/>
    <col min="7" max="7" width="3.6640625" style="100" customWidth="1"/>
    <col min="8" max="8" width="26" style="100" bestFit="1" customWidth="1"/>
    <col min="9" max="9" width="10.109375" style="100" customWidth="1"/>
    <col min="10" max="10" width="11.33203125" style="100" bestFit="1" customWidth="1"/>
    <col min="11" max="11" width="11.5546875" style="100" bestFit="1" customWidth="1"/>
    <col min="12" max="30" width="11.5546875" style="100" customWidth="1"/>
    <col min="31" max="256" width="11.44140625" customWidth="1"/>
  </cols>
  <sheetData>
    <row r="1" spans="1:14" x14ac:dyDescent="0.3">
      <c r="A1" s="677" t="s">
        <v>0</v>
      </c>
      <c r="B1" s="677"/>
      <c r="C1" s="677"/>
      <c r="D1" s="677"/>
      <c r="E1" s="677"/>
      <c r="F1" s="677"/>
      <c r="G1" s="677"/>
      <c r="H1" s="677"/>
      <c r="I1" s="677"/>
      <c r="J1" s="677"/>
    </row>
    <row r="2" spans="1:14" x14ac:dyDescent="0.3">
      <c r="A2" s="99"/>
    </row>
    <row r="3" spans="1:14" ht="15" thickBot="1" x14ac:dyDescent="0.35"/>
    <row r="4" spans="1:14" ht="15" thickBot="1" x14ac:dyDescent="0.35">
      <c r="A4" s="674" t="s">
        <v>1</v>
      </c>
      <c r="B4" s="676"/>
      <c r="D4" s="678" t="s">
        <v>2</v>
      </c>
      <c r="E4" s="680"/>
      <c r="F4" s="679"/>
      <c r="H4" s="674" t="s">
        <v>3</v>
      </c>
      <c r="I4" s="675"/>
      <c r="J4" s="676"/>
      <c r="L4" s="678" t="s">
        <v>4</v>
      </c>
      <c r="M4" s="679"/>
    </row>
    <row r="5" spans="1:14" x14ac:dyDescent="0.3">
      <c r="A5" s="106" t="s">
        <v>5</v>
      </c>
      <c r="B5" s="109">
        <v>10</v>
      </c>
      <c r="D5" s="119" t="s">
        <v>6</v>
      </c>
      <c r="E5" s="520">
        <v>13</v>
      </c>
      <c r="F5" s="120"/>
      <c r="H5" s="107" t="s">
        <v>7</v>
      </c>
      <c r="I5" s="113">
        <v>4.5999999999999996</v>
      </c>
      <c r="J5" s="116" t="s">
        <v>8</v>
      </c>
      <c r="L5" s="479">
        <v>43132</v>
      </c>
      <c r="M5" s="373">
        <v>19.97</v>
      </c>
    </row>
    <row r="6" spans="1:14" x14ac:dyDescent="0.3">
      <c r="A6" s="103" t="s">
        <v>9</v>
      </c>
      <c r="B6" s="110">
        <v>6</v>
      </c>
      <c r="D6" s="106" t="s">
        <v>10</v>
      </c>
      <c r="E6" s="108" t="s">
        <v>11</v>
      </c>
      <c r="F6" s="122">
        <v>5</v>
      </c>
      <c r="H6" s="107" t="s">
        <v>12</v>
      </c>
      <c r="I6" s="597">
        <v>3</v>
      </c>
      <c r="J6" s="116" t="s">
        <v>8</v>
      </c>
      <c r="L6" s="479">
        <v>43160</v>
      </c>
      <c r="M6" s="373">
        <v>20.285</v>
      </c>
      <c r="N6" s="523"/>
    </row>
    <row r="7" spans="1:14" ht="15" thickBot="1" x14ac:dyDescent="0.35">
      <c r="D7" s="106" t="s">
        <v>13</v>
      </c>
      <c r="E7" s="114">
        <v>170</v>
      </c>
      <c r="F7" s="121"/>
      <c r="H7" s="107" t="s">
        <v>14</v>
      </c>
      <c r="I7" s="597">
        <v>7.2</v>
      </c>
      <c r="J7" s="116" t="s">
        <v>8</v>
      </c>
      <c r="L7" s="479">
        <v>43191</v>
      </c>
      <c r="M7" s="373">
        <v>20.678999999999998</v>
      </c>
    </row>
    <row r="8" spans="1:14" s="102" customFormat="1" ht="15" thickBot="1" x14ac:dyDescent="0.35">
      <c r="A8" s="674" t="s">
        <v>4</v>
      </c>
      <c r="B8" s="676"/>
      <c r="C8" s="100" t="s">
        <v>15</v>
      </c>
      <c r="D8" s="106" t="s">
        <v>16</v>
      </c>
      <c r="E8" s="114">
        <v>600</v>
      </c>
      <c r="F8" s="121"/>
      <c r="G8" s="100"/>
      <c r="H8" s="107" t="s">
        <v>17</v>
      </c>
      <c r="I8" s="597">
        <v>20</v>
      </c>
      <c r="J8" s="116" t="s">
        <v>8</v>
      </c>
      <c r="K8" s="100"/>
      <c r="L8" s="479">
        <v>43221</v>
      </c>
      <c r="M8" s="373">
        <v>20.97</v>
      </c>
      <c r="N8" s="100"/>
    </row>
    <row r="9" spans="1:14" s="102" customFormat="1" x14ac:dyDescent="0.3">
      <c r="A9" s="106" t="s">
        <v>18</v>
      </c>
      <c r="B9" s="111">
        <v>245</v>
      </c>
      <c r="C9" s="100"/>
      <c r="D9" s="106" t="s">
        <v>19</v>
      </c>
      <c r="E9" s="114">
        <v>180</v>
      </c>
      <c r="F9" s="121"/>
      <c r="G9" s="100"/>
      <c r="H9" s="107" t="s">
        <v>20</v>
      </c>
      <c r="I9" s="113">
        <v>770</v>
      </c>
      <c r="J9" s="116" t="s">
        <v>21</v>
      </c>
      <c r="K9" s="100"/>
      <c r="L9" s="479">
        <v>43252</v>
      </c>
      <c r="M9" s="373">
        <v>21.28</v>
      </c>
      <c r="N9" s="100"/>
    </row>
    <row r="10" spans="1:14" s="102" customFormat="1" x14ac:dyDescent="0.3">
      <c r="A10" s="106" t="s">
        <v>22</v>
      </c>
      <c r="B10" s="111">
        <v>220</v>
      </c>
      <c r="C10" s="100"/>
      <c r="D10" s="106" t="s">
        <v>23</v>
      </c>
      <c r="E10" s="114">
        <f>180*1.15</f>
        <v>206.99999999999997</v>
      </c>
      <c r="F10" s="121"/>
      <c r="G10" s="100"/>
      <c r="H10" s="107" t="s">
        <v>24</v>
      </c>
      <c r="I10" s="597">
        <v>5.7</v>
      </c>
      <c r="J10" s="116" t="s">
        <v>25</v>
      </c>
      <c r="K10" s="100"/>
      <c r="L10" s="479">
        <v>43282</v>
      </c>
      <c r="M10" s="373">
        <v>21.61</v>
      </c>
      <c r="N10" s="100"/>
    </row>
    <row r="11" spans="1:14" s="102" customFormat="1" x14ac:dyDescent="0.3">
      <c r="A11" s="106" t="s">
        <v>26</v>
      </c>
      <c r="B11" s="111" t="s">
        <v>27</v>
      </c>
      <c r="C11" s="100"/>
      <c r="D11" s="106" t="s">
        <v>28</v>
      </c>
      <c r="E11" s="114">
        <f>80*1.15</f>
        <v>92</v>
      </c>
      <c r="F11" s="121"/>
      <c r="G11" s="100"/>
      <c r="H11" s="107" t="s">
        <v>29</v>
      </c>
      <c r="I11" s="598">
        <v>39</v>
      </c>
      <c r="J11" s="116" t="s">
        <v>8</v>
      </c>
      <c r="K11" s="100"/>
      <c r="L11" s="479">
        <v>43313</v>
      </c>
      <c r="M11" s="373">
        <v>21.92</v>
      </c>
      <c r="N11" s="524" t="s">
        <v>30</v>
      </c>
    </row>
    <row r="12" spans="1:14" s="102" customFormat="1" x14ac:dyDescent="0.3">
      <c r="A12" s="106" t="s">
        <v>31</v>
      </c>
      <c r="B12" s="111">
        <v>450</v>
      </c>
      <c r="C12" s="100"/>
      <c r="D12" s="106" t="s">
        <v>32</v>
      </c>
      <c r="E12" s="114">
        <f>420*1.15</f>
        <v>482.99999999999994</v>
      </c>
      <c r="F12" s="121"/>
      <c r="G12" s="100"/>
      <c r="H12" s="107" t="s">
        <v>33</v>
      </c>
      <c r="I12" s="113">
        <v>39</v>
      </c>
      <c r="J12" s="116" t="s">
        <v>8</v>
      </c>
      <c r="K12" s="100"/>
      <c r="L12" s="479">
        <v>43344</v>
      </c>
      <c r="M12" s="373">
        <v>22.2</v>
      </c>
      <c r="N12" s="100"/>
    </row>
    <row r="13" spans="1:14" s="102" customFormat="1" x14ac:dyDescent="0.3">
      <c r="A13" s="106" t="s">
        <v>34</v>
      </c>
      <c r="B13" s="111">
        <v>200</v>
      </c>
      <c r="C13" s="100"/>
      <c r="D13" s="106" t="s">
        <v>35</v>
      </c>
      <c r="E13" s="108" t="s">
        <v>11</v>
      </c>
      <c r="F13" s="122"/>
      <c r="G13" s="100"/>
      <c r="H13" s="107" t="s">
        <v>36</v>
      </c>
      <c r="I13" s="253">
        <v>16.7</v>
      </c>
      <c r="J13" s="116" t="s">
        <v>8</v>
      </c>
      <c r="K13" s="100"/>
      <c r="L13" s="479">
        <v>43374</v>
      </c>
      <c r="M13" s="373">
        <v>22.52</v>
      </c>
      <c r="N13" s="100"/>
    </row>
    <row r="14" spans="1:14" s="102" customFormat="1" x14ac:dyDescent="0.3">
      <c r="A14" s="106" t="s">
        <v>37</v>
      </c>
      <c r="B14" s="111">
        <v>355</v>
      </c>
      <c r="C14" s="100"/>
      <c r="D14" s="221" t="s">
        <v>38</v>
      </c>
      <c r="E14" s="132" t="s">
        <v>11</v>
      </c>
      <c r="F14" s="122">
        <v>5</v>
      </c>
      <c r="G14" s="100"/>
      <c r="H14" s="107" t="s">
        <v>39</v>
      </c>
      <c r="I14" s="113">
        <v>7</v>
      </c>
      <c r="J14" s="116" t="s">
        <v>8</v>
      </c>
      <c r="K14" s="100"/>
      <c r="L14" s="479">
        <v>43405</v>
      </c>
      <c r="M14" s="373">
        <v>22.81</v>
      </c>
      <c r="N14" s="100"/>
    </row>
    <row r="15" spans="1:14" s="102" customFormat="1" x14ac:dyDescent="0.3">
      <c r="A15" s="103" t="s">
        <v>40</v>
      </c>
      <c r="B15" s="112">
        <v>230</v>
      </c>
      <c r="C15" s="112">
        <f>+'Trigo SP'!E73</f>
        <v>201.04308243727598</v>
      </c>
      <c r="D15" s="106" t="s">
        <v>41</v>
      </c>
      <c r="E15" s="108" t="s">
        <v>11</v>
      </c>
      <c r="F15" s="122">
        <v>1</v>
      </c>
      <c r="G15" s="100"/>
      <c r="H15" s="107" t="s">
        <v>75</v>
      </c>
      <c r="I15" s="597">
        <v>20</v>
      </c>
      <c r="J15" s="116" t="s">
        <v>8</v>
      </c>
      <c r="K15" s="100"/>
      <c r="L15" s="479">
        <v>43435</v>
      </c>
      <c r="M15" s="373">
        <v>22.95</v>
      </c>
      <c r="N15" s="100"/>
    </row>
    <row r="16" spans="1:14" s="102" customFormat="1" ht="15" thickBot="1" x14ac:dyDescent="0.35">
      <c r="B16" s="100"/>
      <c r="C16" s="100"/>
      <c r="D16" s="106" t="s">
        <v>43</v>
      </c>
      <c r="E16" s="114"/>
      <c r="F16" s="121">
        <v>13</v>
      </c>
      <c r="G16" s="100"/>
      <c r="H16" s="107" t="s">
        <v>44</v>
      </c>
      <c r="I16" s="597">
        <v>170</v>
      </c>
      <c r="J16" s="116">
        <v>12</v>
      </c>
      <c r="K16" s="100"/>
      <c r="L16" s="479">
        <v>43466</v>
      </c>
      <c r="M16" s="373">
        <v>23.25</v>
      </c>
      <c r="N16" s="100"/>
    </row>
    <row r="17" spans="2:14" s="102" customFormat="1" x14ac:dyDescent="0.3">
      <c r="B17" s="100"/>
      <c r="C17" s="100"/>
      <c r="D17" s="106" t="s">
        <v>45</v>
      </c>
      <c r="E17" s="114"/>
      <c r="F17" s="121">
        <v>5</v>
      </c>
      <c r="G17" s="100"/>
      <c r="H17" s="107" t="s">
        <v>46</v>
      </c>
      <c r="I17" s="113">
        <v>20</v>
      </c>
      <c r="J17" s="116"/>
      <c r="K17" s="100"/>
      <c r="L17" s="479">
        <v>43497</v>
      </c>
      <c r="M17" s="559">
        <v>23.553921568627452</v>
      </c>
      <c r="N17" s="100"/>
    </row>
    <row r="18" spans="2:14" s="102" customFormat="1" x14ac:dyDescent="0.3">
      <c r="B18" s="100"/>
      <c r="C18" s="100"/>
      <c r="D18" s="106" t="s">
        <v>47</v>
      </c>
      <c r="E18" s="114"/>
      <c r="F18" s="121">
        <v>17</v>
      </c>
      <c r="G18" s="100"/>
      <c r="H18" s="107" t="s">
        <v>48</v>
      </c>
      <c r="I18" s="597">
        <f>21*1.05</f>
        <v>22.05</v>
      </c>
      <c r="J18" s="116" t="s">
        <v>49</v>
      </c>
      <c r="K18" s="100"/>
      <c r="L18" s="479">
        <v>43525</v>
      </c>
      <c r="M18" s="559">
        <v>23.861815968217353</v>
      </c>
      <c r="N18" s="100"/>
    </row>
    <row r="19" spans="2:14" s="102" customFormat="1" x14ac:dyDescent="0.3">
      <c r="B19" s="100"/>
      <c r="C19" s="100"/>
      <c r="D19" s="106" t="s">
        <v>50</v>
      </c>
      <c r="E19" s="114"/>
      <c r="F19" s="121"/>
      <c r="G19" s="100"/>
      <c r="H19" s="107" t="s">
        <v>51</v>
      </c>
      <c r="I19" s="597">
        <v>7</v>
      </c>
      <c r="J19" s="116" t="s">
        <v>8</v>
      </c>
      <c r="K19" s="100"/>
      <c r="L19" s="479">
        <v>43556</v>
      </c>
      <c r="M19" s="559">
        <v>24.173735131200587</v>
      </c>
      <c r="N19" s="100"/>
    </row>
    <row r="20" spans="2:14" s="102" customFormat="1" ht="15" thickBot="1" x14ac:dyDescent="0.35">
      <c r="B20" s="100"/>
      <c r="C20" s="100"/>
      <c r="D20" s="106" t="s">
        <v>52</v>
      </c>
      <c r="E20" s="114"/>
      <c r="F20" s="121"/>
      <c r="G20" s="100"/>
      <c r="H20" s="107" t="s">
        <v>53</v>
      </c>
      <c r="I20" s="597">
        <v>20</v>
      </c>
      <c r="J20" s="116" t="s">
        <v>8</v>
      </c>
      <c r="K20" s="100"/>
      <c r="L20" s="560">
        <v>43586</v>
      </c>
      <c r="M20" s="561">
        <v>24.489731668863339</v>
      </c>
      <c r="N20" s="100"/>
    </row>
    <row r="21" spans="2:14" s="102" customFormat="1" x14ac:dyDescent="0.3">
      <c r="B21" s="100"/>
      <c r="C21" s="100"/>
      <c r="D21" s="106" t="s">
        <v>54</v>
      </c>
      <c r="E21" s="114"/>
      <c r="F21" s="121">
        <v>42</v>
      </c>
      <c r="G21" s="100"/>
      <c r="H21" s="107" t="s">
        <v>55</v>
      </c>
      <c r="I21" s="597">
        <v>12</v>
      </c>
      <c r="J21" s="116" t="s">
        <v>8</v>
      </c>
      <c r="K21" s="100"/>
      <c r="L21" s="100"/>
      <c r="M21" s="100"/>
      <c r="N21" s="100"/>
    </row>
    <row r="22" spans="2:14" s="102" customFormat="1" x14ac:dyDescent="0.3">
      <c r="B22" s="100"/>
      <c r="C22" s="100"/>
      <c r="D22" s="106" t="s">
        <v>56</v>
      </c>
      <c r="E22" s="114"/>
      <c r="F22" s="121">
        <v>42</v>
      </c>
      <c r="G22" s="100"/>
      <c r="H22" s="562" t="s">
        <v>57</v>
      </c>
      <c r="I22" s="563">
        <v>80</v>
      </c>
      <c r="J22" s="116" t="s">
        <v>58</v>
      </c>
      <c r="K22" s="100"/>
      <c r="L22" s="100"/>
      <c r="M22" s="100"/>
      <c r="N22" s="100"/>
    </row>
    <row r="23" spans="2:14" s="102" customFormat="1" x14ac:dyDescent="0.3">
      <c r="B23" s="100"/>
      <c r="C23" s="100"/>
      <c r="D23" s="106"/>
      <c r="E23" s="114"/>
      <c r="F23" s="121"/>
      <c r="G23" s="100"/>
      <c r="H23" s="107" t="s">
        <v>59</v>
      </c>
      <c r="I23" s="597">
        <v>7</v>
      </c>
      <c r="J23" s="116" t="s">
        <v>8</v>
      </c>
      <c r="K23" s="100"/>
      <c r="L23" s="100"/>
      <c r="M23" s="100"/>
      <c r="N23" s="100"/>
    </row>
    <row r="24" spans="2:14" s="102" customFormat="1" x14ac:dyDescent="0.3">
      <c r="B24" s="100"/>
      <c r="C24" s="100"/>
      <c r="D24" s="106" t="s">
        <v>60</v>
      </c>
      <c r="E24" s="114"/>
      <c r="F24" s="121">
        <v>3.3</v>
      </c>
      <c r="G24" s="100"/>
      <c r="H24" s="107" t="s">
        <v>61</v>
      </c>
      <c r="I24" s="597">
        <v>11.8</v>
      </c>
      <c r="J24" s="116" t="s">
        <v>8</v>
      </c>
      <c r="K24" s="100"/>
      <c r="L24" s="100"/>
      <c r="M24" s="100"/>
      <c r="N24" s="100"/>
    </row>
    <row r="25" spans="2:14" s="102" customFormat="1" x14ac:dyDescent="0.3">
      <c r="B25" s="100"/>
      <c r="C25" s="100"/>
      <c r="D25" s="106" t="s">
        <v>535</v>
      </c>
      <c r="E25" s="252"/>
      <c r="F25" s="121">
        <v>20</v>
      </c>
      <c r="G25" s="100"/>
      <c r="H25" s="107" t="s">
        <v>62</v>
      </c>
      <c r="I25" s="597">
        <v>990</v>
      </c>
      <c r="J25" s="116" t="s">
        <v>21</v>
      </c>
      <c r="K25" s="100" t="s">
        <v>63</v>
      </c>
      <c r="L25" s="100"/>
      <c r="M25" s="100"/>
      <c r="N25" s="100"/>
    </row>
    <row r="26" spans="2:14" s="102" customFormat="1" x14ac:dyDescent="0.3">
      <c r="B26" s="100"/>
      <c r="C26" s="100"/>
      <c r="D26" s="106" t="s">
        <v>536</v>
      </c>
      <c r="E26" s="252"/>
      <c r="F26" s="121">
        <v>35</v>
      </c>
      <c r="G26" s="100"/>
      <c r="H26" s="107" t="s">
        <v>64</v>
      </c>
      <c r="I26" s="597">
        <v>28</v>
      </c>
      <c r="J26" s="116" t="s">
        <v>8</v>
      </c>
      <c r="K26" s="100"/>
      <c r="L26" s="100"/>
      <c r="M26" s="100"/>
      <c r="N26" s="100"/>
    </row>
    <row r="27" spans="2:14" s="102" customFormat="1" x14ac:dyDescent="0.3">
      <c r="B27" s="100"/>
      <c r="C27" s="100"/>
      <c r="D27" s="106" t="s">
        <v>65</v>
      </c>
      <c r="E27" s="252"/>
      <c r="F27" s="121">
        <v>3</v>
      </c>
      <c r="G27" s="100"/>
      <c r="H27" s="107" t="s">
        <v>66</v>
      </c>
      <c r="I27" s="597">
        <v>6</v>
      </c>
      <c r="J27" s="116" t="s">
        <v>8</v>
      </c>
      <c r="K27" s="100"/>
      <c r="L27" s="100"/>
      <c r="M27" s="100"/>
      <c r="N27" s="100"/>
    </row>
    <row r="28" spans="2:14" s="102" customFormat="1" x14ac:dyDescent="0.3">
      <c r="B28" s="100"/>
      <c r="C28" s="100"/>
      <c r="D28" s="106" t="s">
        <v>67</v>
      </c>
      <c r="E28" s="252"/>
      <c r="F28" s="121">
        <v>3</v>
      </c>
      <c r="G28" s="100"/>
      <c r="H28" s="107" t="s">
        <v>68</v>
      </c>
      <c r="I28" s="598">
        <v>4.5</v>
      </c>
      <c r="J28" s="116" t="s">
        <v>8</v>
      </c>
      <c r="K28" s="599">
        <v>0.54</v>
      </c>
      <c r="L28" s="100"/>
      <c r="M28" s="100"/>
      <c r="N28" s="100"/>
    </row>
    <row r="29" spans="2:14" s="102" customFormat="1" x14ac:dyDescent="0.3">
      <c r="B29" s="100"/>
      <c r="C29" s="100"/>
      <c r="D29" s="106" t="s">
        <v>69</v>
      </c>
      <c r="E29" s="252"/>
      <c r="F29" s="121">
        <v>3</v>
      </c>
      <c r="G29" s="100"/>
      <c r="H29" s="107" t="s">
        <v>70</v>
      </c>
      <c r="I29" s="563">
        <v>250</v>
      </c>
      <c r="J29" s="116" t="s">
        <v>71</v>
      </c>
      <c r="K29" s="100"/>
      <c r="L29" s="100"/>
      <c r="M29" s="100"/>
      <c r="N29" s="100"/>
    </row>
    <row r="30" spans="2:14" s="102" customFormat="1" x14ac:dyDescent="0.3">
      <c r="B30" s="100"/>
      <c r="C30" s="100"/>
      <c r="D30" s="106" t="s">
        <v>72</v>
      </c>
      <c r="E30" s="252"/>
      <c r="F30" s="121">
        <v>3</v>
      </c>
      <c r="G30" s="100"/>
      <c r="H30" s="107" t="s">
        <v>498</v>
      </c>
      <c r="I30" s="597">
        <v>100</v>
      </c>
      <c r="J30" s="116" t="s">
        <v>8</v>
      </c>
      <c r="K30" s="100"/>
      <c r="L30" s="100"/>
      <c r="M30" s="100"/>
      <c r="N30" s="100"/>
    </row>
    <row r="31" spans="2:14" s="102" customFormat="1" x14ac:dyDescent="0.3">
      <c r="B31" s="100"/>
      <c r="C31" s="100"/>
      <c r="D31" s="106" t="s">
        <v>74</v>
      </c>
      <c r="E31" s="252"/>
      <c r="F31" s="121">
        <v>3</v>
      </c>
      <c r="G31" s="100"/>
      <c r="H31" s="107" t="s">
        <v>75</v>
      </c>
      <c r="I31" s="597">
        <v>20</v>
      </c>
      <c r="J31" s="116" t="s">
        <v>8</v>
      </c>
      <c r="K31" s="100"/>
      <c r="L31" s="100"/>
      <c r="M31" s="100"/>
      <c r="N31" s="100"/>
    </row>
    <row r="32" spans="2:14" s="102" customFormat="1" x14ac:dyDescent="0.3">
      <c r="B32" s="100"/>
      <c r="C32" s="100"/>
      <c r="D32" s="106"/>
      <c r="E32" s="252"/>
      <c r="F32" s="121"/>
      <c r="G32" s="100"/>
      <c r="H32" s="107" t="s">
        <v>499</v>
      </c>
      <c r="I32" s="597">
        <v>11</v>
      </c>
      <c r="J32" s="116"/>
      <c r="K32" s="100"/>
      <c r="L32" s="100"/>
      <c r="M32" s="100"/>
      <c r="N32" s="100"/>
    </row>
    <row r="33" spans="4:14" s="102" customFormat="1" x14ac:dyDescent="0.3">
      <c r="D33" s="106" t="s">
        <v>77</v>
      </c>
      <c r="E33" s="252"/>
      <c r="F33" s="121">
        <v>3</v>
      </c>
      <c r="G33" s="100"/>
      <c r="H33" s="107" t="s">
        <v>78</v>
      </c>
      <c r="I33" s="597">
        <v>35</v>
      </c>
      <c r="J33" s="116" t="s">
        <v>8</v>
      </c>
      <c r="K33" s="100"/>
      <c r="L33" s="100"/>
      <c r="M33" s="100"/>
      <c r="N33" s="100"/>
    </row>
    <row r="34" spans="4:14" s="102" customFormat="1" x14ac:dyDescent="0.3">
      <c r="D34" s="106" t="s">
        <v>79</v>
      </c>
      <c r="E34" s="252"/>
      <c r="F34" s="121">
        <v>3</v>
      </c>
      <c r="G34" s="100"/>
      <c r="H34" s="107" t="s">
        <v>80</v>
      </c>
      <c r="I34" s="597">
        <v>610</v>
      </c>
      <c r="J34" s="116" t="s">
        <v>21</v>
      </c>
      <c r="K34" s="100" t="s">
        <v>63</v>
      </c>
      <c r="L34" s="100"/>
      <c r="M34" s="100"/>
      <c r="N34" s="100"/>
    </row>
    <row r="35" spans="4:14" s="102" customFormat="1" x14ac:dyDescent="0.3">
      <c r="D35" s="106" t="s">
        <v>81</v>
      </c>
      <c r="E35" s="114"/>
      <c r="F35" s="121">
        <v>5</v>
      </c>
      <c r="G35" s="100"/>
      <c r="H35" s="107" t="s">
        <v>82</v>
      </c>
      <c r="I35" s="597">
        <v>440</v>
      </c>
      <c r="J35" s="116" t="s">
        <v>21</v>
      </c>
      <c r="K35" s="100"/>
      <c r="L35" s="100"/>
      <c r="M35" s="100"/>
      <c r="N35" s="100"/>
    </row>
    <row r="36" spans="4:14" s="102" customFormat="1" x14ac:dyDescent="0.3">
      <c r="D36" s="106" t="s">
        <v>83</v>
      </c>
      <c r="E36" s="252"/>
      <c r="F36" s="121">
        <v>6.5</v>
      </c>
      <c r="G36" s="100"/>
      <c r="H36" s="107" t="s">
        <v>84</v>
      </c>
      <c r="I36" s="597">
        <v>7</v>
      </c>
      <c r="J36" s="116" t="s">
        <v>85</v>
      </c>
      <c r="K36" s="100"/>
      <c r="L36" s="100"/>
      <c r="M36" s="100"/>
      <c r="N36" s="100"/>
    </row>
    <row r="37" spans="4:14" s="102" customFormat="1" x14ac:dyDescent="0.3">
      <c r="D37" s="103"/>
      <c r="E37" s="115"/>
      <c r="F37" s="123"/>
      <c r="G37" s="100"/>
      <c r="H37" s="107" t="s">
        <v>86</v>
      </c>
      <c r="I37" s="597">
        <v>35</v>
      </c>
      <c r="J37" s="116" t="s">
        <v>49</v>
      </c>
      <c r="K37" s="100"/>
      <c r="L37" s="100"/>
      <c r="M37" s="100"/>
      <c r="N37" s="100"/>
    </row>
    <row r="38" spans="4:14" s="102" customFormat="1" ht="15" thickBot="1" x14ac:dyDescent="0.35">
      <c r="D38" s="100"/>
      <c r="E38" s="100"/>
      <c r="F38" s="100"/>
      <c r="G38" s="100"/>
      <c r="H38" s="107" t="s">
        <v>87</v>
      </c>
      <c r="I38" s="113">
        <v>125</v>
      </c>
      <c r="J38" s="116" t="s">
        <v>88</v>
      </c>
      <c r="K38" s="100"/>
      <c r="L38" s="100"/>
      <c r="M38" s="100"/>
      <c r="N38" s="100"/>
    </row>
    <row r="39" spans="4:14" s="102" customFormat="1" ht="15" thickBot="1" x14ac:dyDescent="0.35">
      <c r="D39" s="674" t="s">
        <v>89</v>
      </c>
      <c r="E39" s="675"/>
      <c r="F39" s="676"/>
      <c r="G39" s="100"/>
      <c r="H39" s="107" t="s">
        <v>90</v>
      </c>
      <c r="I39" s="113">
        <v>8</v>
      </c>
      <c r="J39" s="116" t="s">
        <v>8</v>
      </c>
      <c r="K39" s="100"/>
      <c r="L39" s="100"/>
      <c r="M39" s="100"/>
      <c r="N39" s="100"/>
    </row>
    <row r="40" spans="4:14" s="102" customFormat="1" x14ac:dyDescent="0.3">
      <c r="D40" s="106" t="s">
        <v>91</v>
      </c>
      <c r="E40" s="113">
        <v>0.52</v>
      </c>
      <c r="F40" s="104" t="s">
        <v>21</v>
      </c>
      <c r="G40" s="100"/>
      <c r="H40" s="107" t="s">
        <v>92</v>
      </c>
      <c r="I40" s="597">
        <v>380</v>
      </c>
      <c r="J40" s="116" t="s">
        <v>93</v>
      </c>
      <c r="K40" s="100"/>
      <c r="L40" s="100"/>
      <c r="M40" s="100"/>
      <c r="N40" s="100"/>
    </row>
    <row r="41" spans="4:14" s="102" customFormat="1" x14ac:dyDescent="0.3">
      <c r="D41" s="106" t="s">
        <v>94</v>
      </c>
      <c r="E41" s="111">
        <v>300</v>
      </c>
      <c r="F41" s="104" t="s">
        <v>95</v>
      </c>
      <c r="G41" s="100"/>
      <c r="H41" s="107" t="s">
        <v>96</v>
      </c>
      <c r="I41" s="597">
        <v>410</v>
      </c>
      <c r="J41" s="116" t="s">
        <v>97</v>
      </c>
      <c r="K41" s="100"/>
      <c r="L41" s="100"/>
      <c r="M41" s="100"/>
      <c r="N41" s="100"/>
    </row>
    <row r="42" spans="4:14" s="102" customFormat="1" x14ac:dyDescent="0.3">
      <c r="D42" s="106" t="s">
        <v>98</v>
      </c>
      <c r="E42" s="111">
        <v>300</v>
      </c>
      <c r="F42" s="104" t="s">
        <v>99</v>
      </c>
      <c r="G42" s="100"/>
      <c r="H42" s="107" t="s">
        <v>100</v>
      </c>
      <c r="I42" s="597">
        <v>1.1000000000000001</v>
      </c>
      <c r="J42" s="116" t="s">
        <v>101</v>
      </c>
      <c r="K42" s="100"/>
      <c r="L42" s="100"/>
      <c r="M42" s="100"/>
      <c r="N42" s="100"/>
    </row>
    <row r="43" spans="4:14" s="102" customFormat="1" x14ac:dyDescent="0.3">
      <c r="D43" s="106" t="s">
        <v>102</v>
      </c>
      <c r="E43" s="111">
        <v>330</v>
      </c>
      <c r="F43" s="104" t="s">
        <v>103</v>
      </c>
      <c r="G43" s="100"/>
      <c r="H43" s="107" t="s">
        <v>104</v>
      </c>
      <c r="I43" s="113">
        <f>+I28</f>
        <v>4.5</v>
      </c>
      <c r="J43" s="116" t="s">
        <v>105</v>
      </c>
      <c r="K43" s="100"/>
      <c r="L43" s="100"/>
      <c r="M43" s="100"/>
      <c r="N43" s="100"/>
    </row>
    <row r="44" spans="4:14" s="102" customFormat="1" x14ac:dyDescent="0.3">
      <c r="D44" s="106" t="s">
        <v>106</v>
      </c>
      <c r="E44" s="111">
        <v>180</v>
      </c>
      <c r="F44" s="104" t="s">
        <v>107</v>
      </c>
      <c r="G44" s="100"/>
      <c r="H44" s="250" t="s">
        <v>502</v>
      </c>
      <c r="I44" s="251">
        <v>400</v>
      </c>
      <c r="J44" s="116" t="s">
        <v>503</v>
      </c>
      <c r="K44" s="100"/>
      <c r="L44" s="100"/>
      <c r="M44" s="100"/>
      <c r="N44" s="100"/>
    </row>
    <row r="45" spans="4:14" s="102" customFormat="1" x14ac:dyDescent="0.3">
      <c r="D45" s="106" t="s">
        <v>108</v>
      </c>
      <c r="E45" s="111">
        <v>35</v>
      </c>
      <c r="F45" s="104" t="s">
        <v>109</v>
      </c>
      <c r="G45" s="100"/>
      <c r="H45" s="107" t="s">
        <v>110</v>
      </c>
      <c r="I45" s="597">
        <v>2.6</v>
      </c>
      <c r="J45" s="116" t="s">
        <v>105</v>
      </c>
      <c r="K45" s="100"/>
      <c r="L45" s="100"/>
      <c r="M45" s="100"/>
      <c r="N45" s="100"/>
    </row>
    <row r="46" spans="4:14" s="102" customFormat="1" x14ac:dyDescent="0.3">
      <c r="D46" s="106" t="s">
        <v>111</v>
      </c>
      <c r="E46" s="111">
        <f>+B14</f>
        <v>355</v>
      </c>
      <c r="F46" s="104" t="s">
        <v>21</v>
      </c>
      <c r="G46" s="100"/>
      <c r="H46" s="107" t="s">
        <v>500</v>
      </c>
      <c r="I46" s="113">
        <v>80</v>
      </c>
      <c r="J46" s="116" t="s">
        <v>85</v>
      </c>
      <c r="K46" s="100"/>
      <c r="L46" s="100"/>
      <c r="M46" s="100"/>
      <c r="N46" s="100"/>
    </row>
    <row r="47" spans="4:14" s="102" customFormat="1" x14ac:dyDescent="0.3">
      <c r="D47" s="103" t="s">
        <v>113</v>
      </c>
      <c r="E47" s="362">
        <v>0.52500000000000002</v>
      </c>
      <c r="F47" s="105" t="s">
        <v>21</v>
      </c>
      <c r="G47" s="100"/>
      <c r="H47" s="107" t="s">
        <v>114</v>
      </c>
      <c r="I47" s="597">
        <v>200</v>
      </c>
      <c r="J47" s="116"/>
      <c r="K47" s="100"/>
      <c r="L47" s="100"/>
      <c r="M47" s="100"/>
      <c r="N47" s="100"/>
    </row>
    <row r="48" spans="4:14" s="102" customFormat="1" x14ac:dyDescent="0.3">
      <c r="D48" s="100"/>
      <c r="E48" s="100"/>
      <c r="F48" s="100"/>
      <c r="G48" s="100"/>
      <c r="H48" s="107" t="s">
        <v>115</v>
      </c>
      <c r="I48" s="597">
        <v>37</v>
      </c>
      <c r="J48" s="116"/>
      <c r="K48" s="100"/>
      <c r="L48" s="100"/>
      <c r="M48" s="100"/>
      <c r="N48" s="100"/>
    </row>
    <row r="49" spans="1:14" s="102" customFormat="1" x14ac:dyDescent="0.3">
      <c r="G49" s="100"/>
      <c r="H49" s="107" t="s">
        <v>116</v>
      </c>
      <c r="I49" s="597">
        <v>390</v>
      </c>
      <c r="J49" s="116"/>
      <c r="K49" s="100"/>
      <c r="L49" s="100"/>
      <c r="M49" s="100"/>
      <c r="N49" s="100"/>
    </row>
    <row r="50" spans="1:14" s="102" customFormat="1" x14ac:dyDescent="0.3">
      <c r="G50" s="100"/>
      <c r="H50" s="107" t="s">
        <v>523</v>
      </c>
      <c r="I50" s="113">
        <v>80</v>
      </c>
      <c r="J50" s="116"/>
      <c r="K50" s="100"/>
      <c r="L50" s="100"/>
      <c r="M50" s="100"/>
      <c r="N50" s="100"/>
    </row>
    <row r="51" spans="1:14" s="102" customFormat="1" x14ac:dyDescent="0.3">
      <c r="G51" s="100"/>
      <c r="H51" s="107" t="s">
        <v>117</v>
      </c>
      <c r="I51" s="597">
        <v>7.2</v>
      </c>
      <c r="J51" s="116"/>
      <c r="K51" s="100"/>
      <c r="L51" s="100"/>
      <c r="M51" s="100"/>
      <c r="N51" s="100"/>
    </row>
    <row r="52" spans="1:14" s="102" customFormat="1" x14ac:dyDescent="0.3">
      <c r="G52" s="100"/>
      <c r="H52" s="601" t="s">
        <v>501</v>
      </c>
      <c r="I52" s="602">
        <v>19</v>
      </c>
      <c r="J52" s="603"/>
      <c r="K52" s="100"/>
      <c r="L52" s="100"/>
      <c r="M52" s="100"/>
      <c r="N52" s="100"/>
    </row>
    <row r="53" spans="1:14" s="102" customFormat="1" x14ac:dyDescent="0.3">
      <c r="B53" s="100">
        <f>+'Cebada SP'!B3</f>
        <v>0</v>
      </c>
      <c r="C53" s="100"/>
      <c r="D53" s="100"/>
      <c r="E53" s="100">
        <f>+'Trigo SP'!B3</f>
        <v>0</v>
      </c>
      <c r="F53" s="100"/>
      <c r="G53" s="100"/>
      <c r="H53" s="102" t="s">
        <v>531</v>
      </c>
      <c r="I53" s="100">
        <v>200</v>
      </c>
      <c r="J53" s="100"/>
      <c r="K53" s="100"/>
      <c r="L53" s="100">
        <f>+'Girasol SP'!B3</f>
        <v>0</v>
      </c>
      <c r="M53" s="100"/>
      <c r="N53" s="100"/>
    </row>
    <row r="54" spans="1:14" s="102" customFormat="1" x14ac:dyDescent="0.3">
      <c r="A54" s="126" t="s">
        <v>118</v>
      </c>
      <c r="B54" s="134" t="s">
        <v>119</v>
      </c>
      <c r="C54" s="100"/>
      <c r="D54" s="126" t="s">
        <v>120</v>
      </c>
      <c r="E54" s="134" t="s">
        <v>40</v>
      </c>
      <c r="F54" s="100"/>
      <c r="G54" s="100"/>
      <c r="H54" s="126" t="str">
        <f>+D54</f>
        <v xml:space="preserve">Agroquimicos </v>
      </c>
      <c r="I54" s="134" t="s">
        <v>121</v>
      </c>
      <c r="J54" s="100"/>
      <c r="K54" s="126" t="s">
        <v>118</v>
      </c>
      <c r="L54" s="134" t="s">
        <v>31</v>
      </c>
      <c r="M54" s="100"/>
      <c r="N54" s="100"/>
    </row>
    <row r="55" spans="1:14" s="102" customFormat="1" x14ac:dyDescent="0.3">
      <c r="A55" s="30" t="s">
        <v>122</v>
      </c>
      <c r="B55" s="164">
        <v>0.25</v>
      </c>
      <c r="C55" s="100">
        <f>+B55*C70</f>
        <v>0</v>
      </c>
      <c r="D55" s="30" t="s">
        <v>122</v>
      </c>
      <c r="E55" s="164">
        <v>0.25</v>
      </c>
      <c r="F55" s="100">
        <f t="shared" ref="F55:F68" si="0">+E55*$E$53</f>
        <v>0</v>
      </c>
      <c r="G55" s="100"/>
      <c r="H55" s="30" t="s">
        <v>123</v>
      </c>
      <c r="I55" s="164">
        <v>0.2</v>
      </c>
      <c r="J55" s="100">
        <f>+I55*$I$53</f>
        <v>40</v>
      </c>
      <c r="K55" s="30" t="s">
        <v>123</v>
      </c>
      <c r="L55" s="164">
        <v>0.2</v>
      </c>
      <c r="M55" s="100">
        <f>+L55*$L$53</f>
        <v>0</v>
      </c>
      <c r="N55" s="100"/>
    </row>
    <row r="56" spans="1:14" s="102" customFormat="1" x14ac:dyDescent="0.3">
      <c r="A56" s="30" t="s">
        <v>124</v>
      </c>
      <c r="B56" s="164">
        <v>0.15</v>
      </c>
      <c r="C56" s="100">
        <f t="shared" ref="C56:C70" si="1">+B56*$B$53</f>
        <v>0</v>
      </c>
      <c r="D56" s="30" t="s">
        <v>124</v>
      </c>
      <c r="E56" s="164">
        <v>0.15</v>
      </c>
      <c r="F56" s="100">
        <f t="shared" si="0"/>
        <v>0</v>
      </c>
      <c r="G56" s="100"/>
      <c r="H56" s="30" t="s">
        <v>125</v>
      </c>
      <c r="I56" s="164">
        <v>0</v>
      </c>
      <c r="J56" s="100">
        <f t="shared" ref="J56:J66" si="2">+I56*$I$53</f>
        <v>0</v>
      </c>
      <c r="K56" s="30" t="s">
        <v>68</v>
      </c>
      <c r="L56" s="164">
        <v>4.5</v>
      </c>
      <c r="M56" s="100">
        <f>+L56*$L$53</f>
        <v>0</v>
      </c>
      <c r="N56" s="100"/>
    </row>
    <row r="57" spans="1:14" s="102" customFormat="1" x14ac:dyDescent="0.3">
      <c r="A57" s="30" t="s">
        <v>12</v>
      </c>
      <c r="B57" s="164">
        <v>1</v>
      </c>
      <c r="C57" s="100">
        <f t="shared" si="1"/>
        <v>0</v>
      </c>
      <c r="D57" s="30" t="s">
        <v>126</v>
      </c>
      <c r="E57" s="164">
        <v>1</v>
      </c>
      <c r="F57" s="100">
        <f t="shared" si="0"/>
        <v>0</v>
      </c>
      <c r="G57" s="100"/>
      <c r="H57" s="30" t="s">
        <v>127</v>
      </c>
      <c r="I57" s="164">
        <v>6</v>
      </c>
      <c r="J57" s="100">
        <f t="shared" si="2"/>
        <v>1200</v>
      </c>
      <c r="K57" s="30" t="s">
        <v>7</v>
      </c>
      <c r="L57" s="164">
        <v>1.2</v>
      </c>
      <c r="M57" s="100">
        <f t="shared" ref="M57:M67" si="3">+L57*$L$53</f>
        <v>0</v>
      </c>
      <c r="N57" s="100"/>
    </row>
    <row r="58" spans="1:14" s="102" customFormat="1" x14ac:dyDescent="0.3">
      <c r="A58" s="30" t="s">
        <v>127</v>
      </c>
      <c r="B58" s="164">
        <v>2.2000000000000002</v>
      </c>
      <c r="C58" s="100">
        <f t="shared" si="1"/>
        <v>0</v>
      </c>
      <c r="D58" s="30" t="s">
        <v>127</v>
      </c>
      <c r="E58" s="164">
        <v>2.2000000000000002</v>
      </c>
      <c r="F58" s="100">
        <f t="shared" si="0"/>
        <v>0</v>
      </c>
      <c r="G58" s="100"/>
      <c r="H58" s="30" t="s">
        <v>7</v>
      </c>
      <c r="I58" s="164">
        <v>1.2</v>
      </c>
      <c r="J58" s="100">
        <f t="shared" si="2"/>
        <v>240</v>
      </c>
      <c r="K58" s="30" t="s">
        <v>78</v>
      </c>
      <c r="L58" s="164">
        <v>0.2</v>
      </c>
      <c r="M58" s="100">
        <f t="shared" si="3"/>
        <v>0</v>
      </c>
      <c r="N58" s="100"/>
    </row>
    <row r="59" spans="1:14" s="102" customFormat="1" x14ac:dyDescent="0.3">
      <c r="A59" s="30" t="s">
        <v>7</v>
      </c>
      <c r="B59" s="164">
        <v>1</v>
      </c>
      <c r="C59" s="100">
        <f t="shared" si="1"/>
        <v>0</v>
      </c>
      <c r="D59" s="30" t="s">
        <v>7</v>
      </c>
      <c r="E59" s="164">
        <v>0.8</v>
      </c>
      <c r="F59" s="100">
        <f t="shared" si="0"/>
        <v>0</v>
      </c>
      <c r="G59" s="100"/>
      <c r="H59" s="30" t="s">
        <v>84</v>
      </c>
      <c r="I59" s="164">
        <v>0.15</v>
      </c>
      <c r="J59" s="100">
        <f t="shared" si="2"/>
        <v>30</v>
      </c>
      <c r="K59" s="30" t="s">
        <v>59</v>
      </c>
      <c r="L59" s="164">
        <v>0.2</v>
      </c>
      <c r="M59" s="100">
        <f t="shared" si="3"/>
        <v>0</v>
      </c>
      <c r="N59" s="100"/>
    </row>
    <row r="60" spans="1:14" s="102" customFormat="1" x14ac:dyDescent="0.3">
      <c r="A60" s="30" t="s">
        <v>84</v>
      </c>
      <c r="B60" s="164">
        <v>0.12</v>
      </c>
      <c r="C60" s="100">
        <f t="shared" si="1"/>
        <v>0</v>
      </c>
      <c r="D60" s="30" t="s">
        <v>84</v>
      </c>
      <c r="E60" s="164">
        <v>0.08</v>
      </c>
      <c r="F60" s="100">
        <f t="shared" si="0"/>
        <v>0</v>
      </c>
      <c r="G60" s="100"/>
      <c r="H60" s="30" t="s">
        <v>78</v>
      </c>
      <c r="I60" s="164">
        <v>0.2</v>
      </c>
      <c r="J60" s="100">
        <f t="shared" si="2"/>
        <v>40</v>
      </c>
      <c r="K60" s="30" t="s">
        <v>128</v>
      </c>
      <c r="L60" s="164">
        <v>2</v>
      </c>
      <c r="M60" s="100">
        <f t="shared" si="3"/>
        <v>0</v>
      </c>
      <c r="N60" s="100"/>
    </row>
    <row r="61" spans="1:14" s="102" customFormat="1" x14ac:dyDescent="0.3">
      <c r="A61" s="30" t="s">
        <v>29</v>
      </c>
      <c r="B61" s="164">
        <v>0.3</v>
      </c>
      <c r="C61" s="100">
        <f t="shared" si="1"/>
        <v>0</v>
      </c>
      <c r="D61" s="30" t="s">
        <v>29</v>
      </c>
      <c r="E61" s="164">
        <v>0.3</v>
      </c>
      <c r="F61" s="100">
        <f t="shared" si="0"/>
        <v>0</v>
      </c>
      <c r="G61" s="100"/>
      <c r="H61" s="30" t="s">
        <v>129</v>
      </c>
      <c r="I61" s="164">
        <v>3</v>
      </c>
      <c r="J61" s="100">
        <f t="shared" si="2"/>
        <v>600</v>
      </c>
      <c r="K61" s="30" t="s">
        <v>130</v>
      </c>
      <c r="L61" s="164">
        <v>1.4999999999999999E-2</v>
      </c>
      <c r="M61" s="100">
        <f t="shared" si="3"/>
        <v>0</v>
      </c>
      <c r="N61" s="100"/>
    </row>
    <row r="62" spans="1:14" s="102" customFormat="1" x14ac:dyDescent="0.3">
      <c r="A62" s="30" t="s">
        <v>131</v>
      </c>
      <c r="B62" s="164">
        <v>1.5</v>
      </c>
      <c r="C62" s="100">
        <f t="shared" si="1"/>
        <v>0</v>
      </c>
      <c r="D62" s="30" t="s">
        <v>132</v>
      </c>
      <c r="E62" s="164">
        <v>0.8</v>
      </c>
      <c r="F62" s="100">
        <f t="shared" si="0"/>
        <v>0</v>
      </c>
      <c r="G62" s="100"/>
      <c r="H62" s="30" t="s">
        <v>59</v>
      </c>
      <c r="I62" s="164">
        <v>0.2</v>
      </c>
      <c r="J62" s="100">
        <f t="shared" si="2"/>
        <v>40</v>
      </c>
      <c r="K62" s="30" t="s">
        <v>51</v>
      </c>
      <c r="L62" s="164">
        <v>0.8</v>
      </c>
      <c r="M62" s="100">
        <f t="shared" si="3"/>
        <v>0</v>
      </c>
      <c r="N62" s="100"/>
    </row>
    <row r="63" spans="1:14" s="102" customFormat="1" x14ac:dyDescent="0.3">
      <c r="A63" s="30" t="s">
        <v>133</v>
      </c>
      <c r="B63" s="164">
        <v>0</v>
      </c>
      <c r="C63" s="100">
        <f t="shared" si="1"/>
        <v>0</v>
      </c>
      <c r="D63" s="30" t="s">
        <v>134</v>
      </c>
      <c r="E63" s="164">
        <v>8.0000000000000002E-3</v>
      </c>
      <c r="F63" s="100">
        <f t="shared" si="0"/>
        <v>0</v>
      </c>
      <c r="G63" s="100"/>
      <c r="H63" s="30" t="s">
        <v>39</v>
      </c>
      <c r="I63" s="164">
        <v>2</v>
      </c>
      <c r="J63" s="100">
        <f t="shared" si="2"/>
        <v>400</v>
      </c>
      <c r="K63" s="30" t="s">
        <v>115</v>
      </c>
      <c r="L63" s="164">
        <v>0.2</v>
      </c>
      <c r="M63" s="100">
        <f t="shared" si="3"/>
        <v>0</v>
      </c>
      <c r="N63" s="100"/>
    </row>
    <row r="64" spans="1:14" s="102" customFormat="1" x14ac:dyDescent="0.3">
      <c r="A64" s="30" t="s">
        <v>87</v>
      </c>
      <c r="B64" s="164">
        <v>0</v>
      </c>
      <c r="C64" s="100">
        <f t="shared" si="1"/>
        <v>0</v>
      </c>
      <c r="D64" s="30" t="s">
        <v>59</v>
      </c>
      <c r="E64" s="164">
        <v>0.2</v>
      </c>
      <c r="F64" s="100">
        <f t="shared" si="0"/>
        <v>0</v>
      </c>
      <c r="G64" s="100"/>
      <c r="H64" s="30" t="s">
        <v>135</v>
      </c>
      <c r="I64" s="164">
        <v>0.08</v>
      </c>
      <c r="J64" s="100">
        <f t="shared" si="2"/>
        <v>16</v>
      </c>
      <c r="K64" s="30" t="s">
        <v>136</v>
      </c>
      <c r="L64" s="164">
        <v>3</v>
      </c>
      <c r="M64" s="100">
        <f t="shared" si="3"/>
        <v>0</v>
      </c>
      <c r="N64" s="100"/>
    </row>
    <row r="65" spans="1:14" s="102" customFormat="1" x14ac:dyDescent="0.3">
      <c r="A65" s="30" t="s">
        <v>59</v>
      </c>
      <c r="B65" s="164">
        <v>0.2</v>
      </c>
      <c r="C65" s="100">
        <f t="shared" si="1"/>
        <v>0</v>
      </c>
      <c r="D65" s="30" t="s">
        <v>87</v>
      </c>
      <c r="E65" s="164">
        <v>0</v>
      </c>
      <c r="F65" s="100">
        <f t="shared" si="0"/>
        <v>0</v>
      </c>
      <c r="G65" s="100"/>
      <c r="H65" s="30" t="s">
        <v>137</v>
      </c>
      <c r="I65" s="164">
        <v>0.16</v>
      </c>
      <c r="J65" s="100">
        <f t="shared" si="2"/>
        <v>32</v>
      </c>
      <c r="K65" s="30" t="s">
        <v>138</v>
      </c>
      <c r="L65" s="164">
        <v>0.04</v>
      </c>
      <c r="M65" s="100">
        <f t="shared" si="3"/>
        <v>0</v>
      </c>
      <c r="N65" s="100"/>
    </row>
    <row r="66" spans="1:14" s="102" customFormat="1" x14ac:dyDescent="0.3">
      <c r="A66" s="30" t="s">
        <v>51</v>
      </c>
      <c r="B66" s="164">
        <v>0.4</v>
      </c>
      <c r="C66" s="100">
        <f t="shared" si="1"/>
        <v>0</v>
      </c>
      <c r="D66" s="30" t="s">
        <v>51</v>
      </c>
      <c r="E66" s="164">
        <v>0.4</v>
      </c>
      <c r="F66" s="100">
        <f t="shared" si="0"/>
        <v>0</v>
      </c>
      <c r="G66" s="100"/>
      <c r="H66" s="30" t="s">
        <v>139</v>
      </c>
      <c r="I66" s="164">
        <v>0.65</v>
      </c>
      <c r="J66" s="100">
        <f t="shared" si="2"/>
        <v>130</v>
      </c>
      <c r="K66" s="30" t="s">
        <v>137</v>
      </c>
      <c r="L66" s="164">
        <v>0.03</v>
      </c>
      <c r="M66" s="100">
        <f t="shared" si="3"/>
        <v>0</v>
      </c>
      <c r="N66" s="100"/>
    </row>
    <row r="67" spans="1:14" s="102" customFormat="1" x14ac:dyDescent="0.3">
      <c r="A67" s="30" t="s">
        <v>86</v>
      </c>
      <c r="B67" s="164">
        <v>0.01</v>
      </c>
      <c r="C67" s="100">
        <f t="shared" si="1"/>
        <v>0</v>
      </c>
      <c r="D67" s="30" t="s">
        <v>140</v>
      </c>
      <c r="E67" s="164">
        <v>0.08</v>
      </c>
      <c r="F67" s="100">
        <f t="shared" si="0"/>
        <v>0</v>
      </c>
      <c r="G67" s="100"/>
      <c r="H67" s="30" t="s">
        <v>141</v>
      </c>
      <c r="I67" s="164">
        <v>0.7</v>
      </c>
      <c r="J67" s="100">
        <f>+I67*$I$53*0.1</f>
        <v>14</v>
      </c>
      <c r="K67" s="30" t="s">
        <v>139</v>
      </c>
      <c r="L67" s="164">
        <v>0.38</v>
      </c>
      <c r="M67" s="100">
        <f t="shared" si="3"/>
        <v>0</v>
      </c>
      <c r="N67" s="100"/>
    </row>
    <row r="68" spans="1:14" s="102" customFormat="1" x14ac:dyDescent="0.3">
      <c r="A68" s="30" t="s">
        <v>140</v>
      </c>
      <c r="B68" s="164">
        <v>0.08</v>
      </c>
      <c r="C68" s="100">
        <f t="shared" si="1"/>
        <v>0</v>
      </c>
      <c r="D68" s="30" t="s">
        <v>142</v>
      </c>
      <c r="E68" s="164">
        <v>0.2</v>
      </c>
      <c r="F68" s="100">
        <f t="shared" si="0"/>
        <v>0</v>
      </c>
      <c r="G68" s="100"/>
      <c r="H68" s="100"/>
      <c r="I68" s="100"/>
      <c r="J68" s="100"/>
      <c r="K68" s="30" t="s">
        <v>141</v>
      </c>
      <c r="L68" s="164">
        <v>0.7</v>
      </c>
      <c r="M68" s="100">
        <f>+L68*$L$53*0.1</f>
        <v>0</v>
      </c>
      <c r="N68" s="100"/>
    </row>
    <row r="69" spans="1:14" s="102" customFormat="1" x14ac:dyDescent="0.3">
      <c r="A69" s="30" t="s">
        <v>142</v>
      </c>
      <c r="B69" s="164">
        <v>0.18</v>
      </c>
      <c r="C69" s="100">
        <f t="shared" si="1"/>
        <v>0</v>
      </c>
      <c r="D69" s="30" t="s">
        <v>139</v>
      </c>
      <c r="E69" s="164">
        <v>0.14000000000000001</v>
      </c>
      <c r="F69" s="100">
        <f>+E69*$E$53*0.2</f>
        <v>0</v>
      </c>
      <c r="G69" s="100"/>
      <c r="H69" s="100"/>
      <c r="I69" s="100"/>
      <c r="J69" s="100"/>
      <c r="K69" s="100"/>
      <c r="L69" s="100"/>
      <c r="M69" s="100"/>
      <c r="N69" s="100"/>
    </row>
    <row r="70" spans="1:14" s="102" customFormat="1" x14ac:dyDescent="0.3">
      <c r="A70" s="30" t="s">
        <v>139</v>
      </c>
      <c r="B70" s="164">
        <v>0.14000000000000001</v>
      </c>
      <c r="C70" s="100">
        <f t="shared" si="1"/>
        <v>0</v>
      </c>
      <c r="D70" s="30" t="s">
        <v>141</v>
      </c>
      <c r="E70" s="164">
        <v>0.7</v>
      </c>
      <c r="F70" s="100">
        <f>+E70*$E$53*0.1</f>
        <v>0</v>
      </c>
      <c r="G70" s="100"/>
      <c r="H70" s="100"/>
      <c r="I70" s="100"/>
      <c r="J70" s="100"/>
      <c r="K70" s="100"/>
      <c r="L70" s="100"/>
      <c r="M70" s="100"/>
      <c r="N70" s="100"/>
    </row>
    <row r="71" spans="1:14" s="102" customFormat="1" x14ac:dyDescent="0.3">
      <c r="A71" s="30" t="s">
        <v>141</v>
      </c>
      <c r="B71" s="164">
        <v>0.7</v>
      </c>
      <c r="C71" s="100">
        <f>+B71*$B$53*0.1</f>
        <v>0</v>
      </c>
      <c r="D71" s="30"/>
      <c r="E71" s="100"/>
      <c r="F71" s="100"/>
      <c r="G71" s="100"/>
      <c r="H71" s="100"/>
      <c r="I71" s="100"/>
      <c r="J71" s="100"/>
      <c r="K71" s="100"/>
      <c r="L71" s="100"/>
      <c r="M71" s="100"/>
      <c r="N71" s="100"/>
    </row>
    <row r="72" spans="1:14" s="102" customFormat="1" x14ac:dyDescent="0.3">
      <c r="A72" s="102" t="s">
        <v>143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</row>
    <row r="73" spans="1:14" s="102" customFormat="1" x14ac:dyDescent="0.3">
      <c r="A73" s="102" t="s">
        <v>144</v>
      </c>
      <c r="B73" s="100">
        <f>+C56+F56+J55+M55</f>
        <v>40</v>
      </c>
      <c r="C73" s="519">
        <f>+I21</f>
        <v>12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</row>
    <row r="74" spans="1:14" s="102" customFormat="1" x14ac:dyDescent="0.3">
      <c r="A74" s="102" t="s">
        <v>145</v>
      </c>
      <c r="B74" s="100">
        <f>+C57+F57</f>
        <v>0</v>
      </c>
      <c r="C74" s="519">
        <f>+I6</f>
        <v>3</v>
      </c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</row>
    <row r="75" spans="1:14" s="102" customFormat="1" x14ac:dyDescent="0.3">
      <c r="A75" s="102" t="s">
        <v>127</v>
      </c>
      <c r="B75" s="100">
        <f>+C58+F58+J57+M56</f>
        <v>1200</v>
      </c>
      <c r="C75" s="519">
        <f>+I43</f>
        <v>4.5</v>
      </c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</row>
    <row r="76" spans="1:14" s="102" customFormat="1" x14ac:dyDescent="0.3">
      <c r="A76" s="102" t="s">
        <v>146</v>
      </c>
      <c r="B76" s="100">
        <f>+C59+F59+J58+M57</f>
        <v>240</v>
      </c>
      <c r="C76" s="519">
        <f>+I5</f>
        <v>4.5999999999999996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</row>
    <row r="77" spans="1:14" s="102" customFormat="1" x14ac:dyDescent="0.3">
      <c r="A77" s="102" t="s">
        <v>84</v>
      </c>
      <c r="B77" s="100">
        <f>+C60+F60+J59</f>
        <v>30</v>
      </c>
      <c r="C77" s="519">
        <f>+I36</f>
        <v>7</v>
      </c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</row>
    <row r="78" spans="1:14" s="102" customFormat="1" x14ac:dyDescent="0.3">
      <c r="A78" s="102" t="s">
        <v>29</v>
      </c>
      <c r="B78" s="100">
        <f>+C61</f>
        <v>0</v>
      </c>
      <c r="C78" s="519">
        <f>+I11</f>
        <v>39</v>
      </c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</row>
    <row r="79" spans="1:14" s="102" customFormat="1" x14ac:dyDescent="0.3">
      <c r="A79" s="102" t="s">
        <v>131</v>
      </c>
      <c r="B79" s="518">
        <f>+C62</f>
        <v>0</v>
      </c>
      <c r="C79" s="100" t="s">
        <v>147</v>
      </c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</row>
    <row r="80" spans="1:14" s="102" customFormat="1" x14ac:dyDescent="0.3">
      <c r="A80" s="102" t="s">
        <v>148</v>
      </c>
      <c r="B80" s="100">
        <f>+F62</f>
        <v>0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</row>
    <row r="81" spans="1:6" s="102" customFormat="1" x14ac:dyDescent="0.3">
      <c r="A81" s="102" t="str">
        <f>+A65</f>
        <v>Dicamba</v>
      </c>
      <c r="B81" s="100">
        <f>+C65+F64+J62+M59</f>
        <v>40</v>
      </c>
      <c r="C81" s="100"/>
      <c r="D81" s="100"/>
      <c r="E81" s="100"/>
      <c r="F81" s="100"/>
    </row>
    <row r="82" spans="1:6" s="102" customFormat="1" x14ac:dyDescent="0.3">
      <c r="A82" s="102" t="s">
        <v>149</v>
      </c>
      <c r="B82" s="100">
        <f>+C66+F66</f>
        <v>0</v>
      </c>
      <c r="C82" s="100"/>
      <c r="D82" s="100"/>
      <c r="E82" s="100"/>
      <c r="F82" s="100"/>
    </row>
    <row r="83" spans="1:6" s="102" customFormat="1" x14ac:dyDescent="0.3">
      <c r="A83" s="102" t="str">
        <f>+A67</f>
        <v>Metsulfuron</v>
      </c>
      <c r="B83" s="100">
        <f>+C67</f>
        <v>0</v>
      </c>
      <c r="C83" s="100"/>
      <c r="D83" s="100"/>
      <c r="E83" s="100"/>
      <c r="F83" s="100"/>
    </row>
    <row r="84" spans="1:6" s="102" customFormat="1" x14ac:dyDescent="0.3">
      <c r="A84" s="102" t="str">
        <f>+A68</f>
        <v>Fertilizantes</v>
      </c>
      <c r="B84" s="100">
        <f>+C68+F67+J64+M65</f>
        <v>16</v>
      </c>
      <c r="C84" s="100"/>
      <c r="D84" s="100"/>
      <c r="E84" s="100"/>
      <c r="F84" s="100"/>
    </row>
    <row r="85" spans="1:6" s="102" customFormat="1" x14ac:dyDescent="0.3">
      <c r="A85" s="102" t="s">
        <v>142</v>
      </c>
      <c r="B85" s="100">
        <f>+C69+F68+J65+M66</f>
        <v>32</v>
      </c>
      <c r="C85" s="100"/>
      <c r="D85" s="100"/>
      <c r="E85" s="100"/>
      <c r="F85" s="100"/>
    </row>
    <row r="86" spans="1:6" s="102" customFormat="1" x14ac:dyDescent="0.3">
      <c r="A86" s="102" t="s">
        <v>150</v>
      </c>
      <c r="B86" s="100"/>
      <c r="C86" s="100"/>
      <c r="D86" s="100"/>
      <c r="E86" s="100"/>
      <c r="F86" s="100"/>
    </row>
    <row r="87" spans="1:6" s="102" customFormat="1" x14ac:dyDescent="0.3">
      <c r="A87" s="102" t="s">
        <v>151</v>
      </c>
      <c r="B87" s="100"/>
      <c r="C87" s="100"/>
      <c r="D87" s="100"/>
      <c r="E87" s="100"/>
      <c r="F87" s="100"/>
    </row>
    <row r="88" spans="1:6" s="102" customFormat="1" x14ac:dyDescent="0.3">
      <c r="A88" s="102" t="s">
        <v>152</v>
      </c>
      <c r="B88" s="100"/>
      <c r="C88" s="100"/>
      <c r="D88" s="100"/>
      <c r="E88" s="100"/>
      <c r="F88" s="100"/>
    </row>
    <row r="89" spans="1:6" s="102" customFormat="1" x14ac:dyDescent="0.3">
      <c r="A89" s="102" t="s">
        <v>98</v>
      </c>
      <c r="B89" s="100"/>
      <c r="C89" s="100"/>
      <c r="D89" s="100"/>
      <c r="E89" s="100"/>
      <c r="F89" s="100"/>
    </row>
  </sheetData>
  <mergeCells count="7">
    <mergeCell ref="D39:F39"/>
    <mergeCell ref="H4:J4"/>
    <mergeCell ref="A1:J1"/>
    <mergeCell ref="L4:M4"/>
    <mergeCell ref="A8:B8"/>
    <mergeCell ref="A4:B4"/>
    <mergeCell ref="D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2"/>
  <sheetViews>
    <sheetView showGridLines="0" topLeftCell="A3" zoomScale="110" zoomScaleNormal="110" workbookViewId="0">
      <selection activeCell="I10" sqref="I10"/>
    </sheetView>
  </sheetViews>
  <sheetFormatPr baseColWidth="10" defaultColWidth="9.109375" defaultRowHeight="13.2" x14ac:dyDescent="0.25"/>
  <cols>
    <col min="1" max="1" width="16.44140625" style="283" bestFit="1" customWidth="1"/>
    <col min="2" max="2" width="7" style="283" bestFit="1" customWidth="1"/>
    <col min="3" max="3" width="10" style="284" bestFit="1" customWidth="1"/>
    <col min="4" max="4" width="8.6640625" style="283" bestFit="1" customWidth="1"/>
    <col min="5" max="5" width="10" style="283" bestFit="1" customWidth="1"/>
    <col min="6" max="6" width="10.88671875" style="283" bestFit="1" customWidth="1"/>
    <col min="7" max="7" width="13.5546875" style="283" bestFit="1" customWidth="1"/>
    <col min="8" max="8" width="13.5546875" style="283" customWidth="1"/>
    <col min="9" max="9" width="11.6640625" style="284" bestFit="1" customWidth="1"/>
    <col min="10" max="11" width="11.6640625" style="283" bestFit="1" customWidth="1"/>
    <col min="12" max="12" width="10.109375" style="283" bestFit="1" customWidth="1"/>
    <col min="13" max="13" width="12.5546875" style="283" bestFit="1" customWidth="1"/>
    <col min="14" max="14" width="11.88671875" style="283" bestFit="1" customWidth="1"/>
    <col min="15" max="15" width="9.5546875" style="283" bestFit="1" customWidth="1"/>
    <col min="16" max="16" width="14.44140625" hidden="1" customWidth="1"/>
    <col min="17" max="17" width="12.33203125" hidden="1" customWidth="1"/>
    <col min="18" max="25" width="0" hidden="1" customWidth="1"/>
    <col min="26" max="26" width="7.6640625" hidden="1" customWidth="1"/>
    <col min="27" max="27" width="14.44140625" hidden="1" customWidth="1"/>
    <col min="28" max="28" width="0" hidden="1" customWidth="1"/>
    <col min="29" max="29" width="6.6640625" bestFit="1" customWidth="1"/>
    <col min="30" max="30" width="6.5546875" customWidth="1"/>
    <col min="31" max="257" width="11.44140625" customWidth="1"/>
  </cols>
  <sheetData>
    <row r="1" spans="1:32" x14ac:dyDescent="0.25">
      <c r="A1" s="693" t="s">
        <v>516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693"/>
    </row>
    <row r="2" spans="1:32" ht="13.8" thickBot="1" x14ac:dyDescent="0.3">
      <c r="A2" s="283" t="s">
        <v>153</v>
      </c>
    </row>
    <row r="3" spans="1:32" ht="13.8" thickBot="1" x14ac:dyDescent="0.3">
      <c r="A3" s="484"/>
      <c r="B3" s="709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1"/>
      <c r="P3" s="370"/>
      <c r="Q3" s="702" t="s">
        <v>154</v>
      </c>
      <c r="R3" s="703"/>
      <c r="S3" s="704"/>
      <c r="T3" s="370"/>
      <c r="U3" s="370"/>
      <c r="V3" s="370"/>
      <c r="W3" s="370"/>
      <c r="X3" s="370"/>
      <c r="Y3" s="370"/>
      <c r="Z3" s="370"/>
      <c r="AA3" s="370"/>
      <c r="AB3" s="370"/>
      <c r="AC3" s="715" t="s">
        <v>155</v>
      </c>
      <c r="AD3" s="716"/>
    </row>
    <row r="4" spans="1:32" s="101" customFormat="1" ht="12" x14ac:dyDescent="0.25">
      <c r="A4" s="544"/>
      <c r="B4" s="344" t="s">
        <v>156</v>
      </c>
      <c r="C4" s="545" t="s">
        <v>157</v>
      </c>
      <c r="D4" s="344" t="s">
        <v>158</v>
      </c>
      <c r="E4" s="344" t="s">
        <v>159</v>
      </c>
      <c r="F4" s="344" t="s">
        <v>160</v>
      </c>
      <c r="G4" s="344" t="s">
        <v>161</v>
      </c>
      <c r="H4" s="344" t="s">
        <v>517</v>
      </c>
      <c r="I4" s="545" t="s">
        <v>162</v>
      </c>
      <c r="J4" s="344" t="s">
        <v>163</v>
      </c>
      <c r="K4" s="344" t="s">
        <v>164</v>
      </c>
      <c r="L4" s="343" t="s">
        <v>165</v>
      </c>
      <c r="M4" s="343" t="s">
        <v>166</v>
      </c>
      <c r="N4" s="343" t="s">
        <v>167</v>
      </c>
      <c r="O4" s="344" t="s">
        <v>167</v>
      </c>
      <c r="P4" s="546"/>
      <c r="Q4" s="705" t="s">
        <v>168</v>
      </c>
      <c r="R4" s="706"/>
      <c r="S4" s="707"/>
      <c r="T4" s="546"/>
      <c r="U4" s="546"/>
      <c r="V4" s="546"/>
      <c r="W4" s="546"/>
      <c r="X4" s="546"/>
      <c r="Y4" s="546"/>
      <c r="Z4" s="546"/>
      <c r="AA4" s="546"/>
      <c r="AB4" s="546"/>
      <c r="AC4" s="344" t="s">
        <v>167</v>
      </c>
      <c r="AD4" s="547" t="s">
        <v>167</v>
      </c>
    </row>
    <row r="5" spans="1:32" s="101" customFormat="1" ht="12" customHeight="1" thickBot="1" x14ac:dyDescent="0.3">
      <c r="A5" s="548"/>
      <c r="B5" s="549"/>
      <c r="C5" s="550" t="s">
        <v>169</v>
      </c>
      <c r="D5" s="551" t="s">
        <v>170</v>
      </c>
      <c r="E5" s="551" t="s">
        <v>171</v>
      </c>
      <c r="F5" s="551" t="s">
        <v>170</v>
      </c>
      <c r="G5" s="551" t="s">
        <v>170</v>
      </c>
      <c r="H5" s="551"/>
      <c r="I5" s="550" t="s">
        <v>169</v>
      </c>
      <c r="J5" s="551" t="s">
        <v>170</v>
      </c>
      <c r="K5" s="551" t="s">
        <v>170</v>
      </c>
      <c r="L5" s="552"/>
      <c r="M5" s="552"/>
      <c r="N5" s="552" t="s">
        <v>172</v>
      </c>
      <c r="O5" s="551" t="s">
        <v>173</v>
      </c>
      <c r="P5" s="553"/>
      <c r="Q5" s="554" t="s">
        <v>174</v>
      </c>
      <c r="R5" s="554" t="s">
        <v>175</v>
      </c>
      <c r="S5" s="554" t="s">
        <v>176</v>
      </c>
      <c r="T5" s="553"/>
      <c r="U5" s="553"/>
      <c r="V5" s="553"/>
      <c r="W5" s="553"/>
      <c r="X5" s="553"/>
      <c r="Y5" s="553"/>
      <c r="Z5" s="553"/>
      <c r="AA5" s="553"/>
      <c r="AB5" s="553"/>
      <c r="AC5" s="551" t="s">
        <v>173</v>
      </c>
      <c r="AD5" s="555" t="s">
        <v>172</v>
      </c>
    </row>
    <row r="6" spans="1:32" s="101" customFormat="1" x14ac:dyDescent="0.25">
      <c r="A6" s="697" t="s">
        <v>177</v>
      </c>
      <c r="B6" s="529">
        <f>'Trigo SP'!B3</f>
        <v>0</v>
      </c>
      <c r="C6" s="449">
        <f>'Trigo SP'!B75</f>
        <v>5.7</v>
      </c>
      <c r="D6" s="450">
        <f>+C57</f>
        <v>426</v>
      </c>
      <c r="E6" s="530">
        <f>Cotizaciones!B15</f>
        <v>230</v>
      </c>
      <c r="F6" s="450">
        <f>+'Trigo SP'!B79</f>
        <v>1123.0266584946237</v>
      </c>
      <c r="G6" s="450">
        <f>'Trigo SP'!B77</f>
        <v>1026.77</v>
      </c>
      <c r="H6" s="629">
        <f>+('Trigo SP'!B77+'Trigo SP'!E70)/'Trigo SP'!B75</f>
        <v>209.09200528202226</v>
      </c>
      <c r="I6" s="449">
        <f>'Trigo SP'!B82</f>
        <v>5.107213775039213</v>
      </c>
      <c r="J6" s="450">
        <f>'Trigo SP'!B80</f>
        <v>96.256658494623707</v>
      </c>
      <c r="K6" s="450">
        <f>'Trigo SP'!B83</f>
        <v>921.77</v>
      </c>
      <c r="L6" s="450">
        <f t="shared" ref="L6:L15" si="0">+G6/C6</f>
        <v>180.13508771929824</v>
      </c>
      <c r="M6" s="477">
        <f>+L6/E6</f>
        <v>0.78319603356216627</v>
      </c>
      <c r="N6" s="541">
        <f>+'Trigo SP'!B84</f>
        <v>0.10442589636744927</v>
      </c>
      <c r="O6" s="541">
        <f>+'Trigo SP'!B81</f>
        <v>9.3747049967006932E-2</v>
      </c>
      <c r="P6" s="487">
        <f t="shared" ref="P6:P15" si="1">G6*B6</f>
        <v>0</v>
      </c>
      <c r="Q6" s="542">
        <f>'[1]Trigo SP'!E30</f>
        <v>50.35</v>
      </c>
      <c r="R6" s="542">
        <f t="shared" ref="R6:R15" si="2">Q6*B6</f>
        <v>0</v>
      </c>
      <c r="S6" s="543">
        <f>R6*[1]Cotizaciones!$B$5</f>
        <v>0</v>
      </c>
      <c r="T6" s="708" t="s">
        <v>178</v>
      </c>
      <c r="AA6" s="249">
        <f t="shared" ref="AA6:AA15" si="3">(J6+G6)*B6</f>
        <v>0</v>
      </c>
      <c r="AC6" s="719" t="str">
        <f>+'Trigo SP'!H81</f>
        <v>Ha</v>
      </c>
      <c r="AD6" s="717">
        <f>+'Trigo SP'!H84</f>
        <v>0</v>
      </c>
    </row>
    <row r="7" spans="1:32" s="101" customFormat="1" ht="13.8" thickBot="1" x14ac:dyDescent="0.3">
      <c r="A7" s="697"/>
      <c r="B7" s="445">
        <f>+'Soja 2da. T'!B3</f>
        <v>0</v>
      </c>
      <c r="C7" s="446">
        <f>'Soja 2da. T'!B73</f>
        <v>1.3</v>
      </c>
      <c r="D7" s="447">
        <v>0</v>
      </c>
      <c r="E7" s="447">
        <f>+Cotizaciones!B14</f>
        <v>355</v>
      </c>
      <c r="F7" s="447">
        <f>+'Soja 2da. T'!B76</f>
        <v>414.33491485621352</v>
      </c>
      <c r="G7" s="447">
        <f>+'Soja 2da. T'!B75</f>
        <v>404.65</v>
      </c>
      <c r="H7" s="630">
        <f>+('Soja 2da. T'!B75+'Soja 2da. T'!E67)/'Soja 2da. T'!B73</f>
        <v>347.55006549522034</v>
      </c>
      <c r="I7" s="446">
        <f>+'Soja 2da. T'!B79</f>
        <v>1.2696130138647697</v>
      </c>
      <c r="J7" s="447">
        <f>+'Soja 2da. T'!B77</f>
        <v>9.6849148562135383</v>
      </c>
      <c r="K7" s="463">
        <f>+'Soja 2da. T'!B80</f>
        <v>296.64999999999998</v>
      </c>
      <c r="L7" s="463">
        <f t="shared" si="0"/>
        <v>311.26923076923072</v>
      </c>
      <c r="M7" s="477">
        <f t="shared" ref="M7:M15" si="4">+L7/E7</f>
        <v>0.87681473456121328</v>
      </c>
      <c r="N7" s="464">
        <f>+'Soja 2da. T'!B81</f>
        <v>3.2647614549851808E-2</v>
      </c>
      <c r="O7" s="464">
        <f>+'Soja 2da. T'!B78</f>
        <v>2.3934053765509795E-2</v>
      </c>
      <c r="P7" s="487">
        <f t="shared" si="1"/>
        <v>0</v>
      </c>
      <c r="Q7" s="222">
        <f>'[1]Soja 2da. C'!E28</f>
        <v>22.4</v>
      </c>
      <c r="R7" s="222">
        <f t="shared" si="2"/>
        <v>0</v>
      </c>
      <c r="S7" s="223">
        <f>R7*[1]Cotizaciones!$B$5</f>
        <v>0</v>
      </c>
      <c r="T7" s="682"/>
      <c r="AA7" s="249">
        <f t="shared" si="3"/>
        <v>0</v>
      </c>
      <c r="AC7" s="722"/>
      <c r="AD7" s="718"/>
    </row>
    <row r="8" spans="1:32" s="101" customFormat="1" x14ac:dyDescent="0.25">
      <c r="A8" s="698" t="s">
        <v>179</v>
      </c>
      <c r="B8" s="511">
        <f>+'Cebada SP'!B3</f>
        <v>0</v>
      </c>
      <c r="C8" s="512">
        <f>'Cebada SP'!B80</f>
        <v>5.7</v>
      </c>
      <c r="D8" s="513">
        <f>+'Cebada SP'!D26</f>
        <v>426</v>
      </c>
      <c r="E8" s="513">
        <f>+Cotizaciones!B9</f>
        <v>245</v>
      </c>
      <c r="F8" s="513">
        <f>'Cebada SP'!B84</f>
        <v>1152.7368433431086</v>
      </c>
      <c r="G8" s="513">
        <f>'Cebada SP'!B82</f>
        <v>1044.71</v>
      </c>
      <c r="H8" s="631">
        <f>+('Cebada SP'!B82+'Cebada SP'!E73)/'Cebada SP'!B80</f>
        <v>209.67068683438802</v>
      </c>
      <c r="I8" s="512">
        <f>'Cebada SP'!B87</f>
        <v>5.0625171683377932</v>
      </c>
      <c r="J8" s="513">
        <f>+'Cebada SP'!B85</f>
        <v>108.02684334310857</v>
      </c>
      <c r="K8" s="513">
        <f>'Cebada SP'!B88</f>
        <v>939.70999999999992</v>
      </c>
      <c r="L8" s="513">
        <f t="shared" si="0"/>
        <v>183.28245614035089</v>
      </c>
      <c r="M8" s="514">
        <f t="shared" si="4"/>
        <v>0.74809165771571795</v>
      </c>
      <c r="N8" s="515">
        <f>+'Cebada SP'!B89</f>
        <v>0.11495763942398035</v>
      </c>
      <c r="O8" s="516">
        <f>+'Cebada SP'!B86</f>
        <v>0.10340366546037519</v>
      </c>
      <c r="P8" s="487">
        <f t="shared" si="1"/>
        <v>0</v>
      </c>
      <c r="Q8" s="222">
        <f>'[1]Cebada SP'!E30</f>
        <v>52.5</v>
      </c>
      <c r="R8" s="222">
        <f t="shared" si="2"/>
        <v>0</v>
      </c>
      <c r="S8" s="223">
        <f>R8*[1]Cotizaciones!$B$5</f>
        <v>0</v>
      </c>
      <c r="T8" s="681" t="s">
        <v>179</v>
      </c>
      <c r="AA8" s="249">
        <f t="shared" si="3"/>
        <v>0</v>
      </c>
      <c r="AC8" s="720">
        <f>+'Soja 2da. C'!D79</f>
        <v>0.12567587416856849</v>
      </c>
      <c r="AD8" s="719">
        <f>+'Cebada SP'!E87</f>
        <v>0.14623845725101273</v>
      </c>
      <c r="AF8" s="101">
        <f>+B8*C8</f>
        <v>0</v>
      </c>
    </row>
    <row r="9" spans="1:32" s="101" customFormat="1" ht="10.5" customHeight="1" thickBot="1" x14ac:dyDescent="0.3">
      <c r="A9" s="699"/>
      <c r="B9" s="627">
        <f>+'Soja 2da. C'!B3</f>
        <v>0</v>
      </c>
      <c r="C9" s="440">
        <f>'Soja 2da. C'!B74</f>
        <v>1.5</v>
      </c>
      <c r="D9" s="441">
        <v>0</v>
      </c>
      <c r="E9" s="441">
        <f>Cotizaciones!B14</f>
        <v>355</v>
      </c>
      <c r="F9" s="441">
        <f>'Soja 2da. C'!B77</f>
        <v>472.41267295279533</v>
      </c>
      <c r="G9" s="441">
        <f>'Soja 2da. C'!B76</f>
        <v>399</v>
      </c>
      <c r="H9" s="632">
        <f>+('Soja 2da. C'!B76+'Soja 2da. C'!E68)/'Soja 2da. C'!B74</f>
        <v>299.63083472598959</v>
      </c>
      <c r="I9" s="440">
        <f>'Soja 2da. C'!B80</f>
        <v>1.2415627979112398</v>
      </c>
      <c r="J9" s="441">
        <f>+'Soja 2da. C'!B78</f>
        <v>73.412672952795333</v>
      </c>
      <c r="K9" s="441">
        <f>'Soja 2da. C'!B81</f>
        <v>301</v>
      </c>
      <c r="L9" s="441">
        <f t="shared" si="0"/>
        <v>266</v>
      </c>
      <c r="M9" s="476">
        <f t="shared" si="4"/>
        <v>0.74929577464788732</v>
      </c>
      <c r="N9" s="442">
        <f>+'Soja 2da. C'!B82</f>
        <v>0.24389592343121372</v>
      </c>
      <c r="O9" s="443">
        <f>+'Soja 2da. C'!B79</f>
        <v>0.18399166153582791</v>
      </c>
      <c r="P9" s="487">
        <f t="shared" si="1"/>
        <v>0</v>
      </c>
      <c r="Q9" s="222">
        <f>'[1]Soja 2da. C'!E28</f>
        <v>22.4</v>
      </c>
      <c r="R9" s="222">
        <f t="shared" si="2"/>
        <v>0</v>
      </c>
      <c r="S9" s="223">
        <f>R9*[1]Cotizaciones!$B$5</f>
        <v>0</v>
      </c>
      <c r="T9" s="682"/>
      <c r="AA9" s="249">
        <f t="shared" si="3"/>
        <v>0</v>
      </c>
      <c r="AC9" s="721"/>
      <c r="AD9" s="718"/>
      <c r="AF9" s="101">
        <f>+B9*C9</f>
        <v>0</v>
      </c>
    </row>
    <row r="10" spans="1:32" s="101" customFormat="1" ht="13.5" customHeight="1" x14ac:dyDescent="0.25">
      <c r="A10" s="488" t="s">
        <v>180</v>
      </c>
      <c r="B10" s="448">
        <v>0</v>
      </c>
      <c r="C10" s="449">
        <f>+'Maiz 2da'!B76</f>
        <v>4.5</v>
      </c>
      <c r="D10" s="450">
        <v>0</v>
      </c>
      <c r="E10" s="450">
        <f>+Cotizaciones!B13</f>
        <v>200</v>
      </c>
      <c r="F10" s="450">
        <f>+'Maiz 2da'!B79</f>
        <v>719.7285282875788</v>
      </c>
      <c r="G10" s="450">
        <f>+'Maiz 2da'!E69</f>
        <v>654.65</v>
      </c>
      <c r="H10" s="629"/>
      <c r="I10" s="449">
        <f>+'Maiz 2da'!B82</f>
        <v>4.0112436655372532</v>
      </c>
      <c r="J10" s="450">
        <f>+F10-G10</f>
        <v>65.07852828757882</v>
      </c>
      <c r="K10" s="450">
        <f>+'Maiz 2da'!B83</f>
        <v>536.61</v>
      </c>
      <c r="L10" s="450">
        <f t="shared" si="0"/>
        <v>145.47777777777776</v>
      </c>
      <c r="M10" s="477">
        <f t="shared" si="4"/>
        <v>0.72738888888888875</v>
      </c>
      <c r="N10" s="482">
        <f>+'Maiz 2da'!B84</f>
        <v>0.12127714408523661</v>
      </c>
      <c r="O10" s="451">
        <f>+'Maiz 2da'!B81</f>
        <v>9.9409651397813825E-2</v>
      </c>
      <c r="P10" s="487">
        <f t="shared" si="1"/>
        <v>0</v>
      </c>
      <c r="Q10" s="222"/>
      <c r="R10" s="222">
        <f t="shared" si="2"/>
        <v>0</v>
      </c>
      <c r="S10" s="223">
        <f>R10*[1]Cotizaciones!$B$5</f>
        <v>0</v>
      </c>
      <c r="T10" s="681" t="s">
        <v>181</v>
      </c>
      <c r="AA10" s="249">
        <f t="shared" si="3"/>
        <v>0</v>
      </c>
      <c r="AC10" s="539">
        <f>+'Maiz 2da'!D81</f>
        <v>0.10186503838544356</v>
      </c>
      <c r="AD10" s="540"/>
    </row>
    <row r="11" spans="1:32" s="101" customFormat="1" ht="13.8" thickBot="1" x14ac:dyDescent="0.3">
      <c r="A11" s="489" t="s">
        <v>31</v>
      </c>
      <c r="B11" s="628">
        <f>+'Girasol SP'!B3</f>
        <v>0</v>
      </c>
      <c r="C11" s="440">
        <f>+'Girasol SP'!B83</f>
        <v>2.6</v>
      </c>
      <c r="D11" s="441">
        <f>+'Girasol SP'!E28</f>
        <v>426</v>
      </c>
      <c r="E11" s="441">
        <f>+Cotizaciones!B12</f>
        <v>450</v>
      </c>
      <c r="F11" s="441">
        <f>'Girasol SP'!B89</f>
        <v>971.77382971242707</v>
      </c>
      <c r="G11" s="441">
        <f>'Girasol SP'!B88</f>
        <v>972.71</v>
      </c>
      <c r="H11" s="632">
        <f>+('Girasol SP'!B88+'Girasol SP'!E77)/'Girasol SP'!B83-'Girasol SP'!B85</f>
        <v>358.36006549522034</v>
      </c>
      <c r="I11" s="440">
        <f>+'Girasol SP'!B92</f>
        <v>2.6025047420225444</v>
      </c>
      <c r="J11" s="441">
        <f>+F11-G11</f>
        <v>-0.93617028757296339</v>
      </c>
      <c r="K11" s="441">
        <f>+'Girasol SP'!B93</f>
        <v>872.71</v>
      </c>
      <c r="L11" s="441">
        <f t="shared" si="0"/>
        <v>374.1192307692308</v>
      </c>
      <c r="M11" s="476">
        <f t="shared" si="4"/>
        <v>0.83137606837606848</v>
      </c>
      <c r="N11" s="442">
        <f>+'Girasol SP'!B94</f>
        <v>-1.072716352021821E-3</v>
      </c>
      <c r="O11" s="443">
        <f>+'Girasol SP'!B91</f>
        <v>-9.6243514261492463E-4</v>
      </c>
      <c r="P11" s="487">
        <f t="shared" si="1"/>
        <v>0</v>
      </c>
      <c r="Q11" s="222">
        <f>'[1]Soja 2da. C'!E28</f>
        <v>22.4</v>
      </c>
      <c r="R11" s="222">
        <f t="shared" si="2"/>
        <v>0</v>
      </c>
      <c r="S11" s="223">
        <f>R11*[1]Cotizaciones!$B$5</f>
        <v>0</v>
      </c>
      <c r="T11" s="682"/>
      <c r="AA11" s="249">
        <f t="shared" si="3"/>
        <v>0</v>
      </c>
      <c r="AC11" s="539">
        <f>+'Girasol 2da'!D75</f>
        <v>0</v>
      </c>
      <c r="AD11" s="540"/>
      <c r="AF11" s="101">
        <f>+B11*C11</f>
        <v>0</v>
      </c>
    </row>
    <row r="12" spans="1:32" s="101" customFormat="1" x14ac:dyDescent="0.25">
      <c r="A12" s="495" t="s">
        <v>34</v>
      </c>
      <c r="B12" s="529">
        <f>'Maiz SP'!B3</f>
        <v>0</v>
      </c>
      <c r="C12" s="449">
        <f>'Maiz SP'!B76</f>
        <v>8.5</v>
      </c>
      <c r="D12" s="450">
        <f>+'Maiz SP'!D27</f>
        <v>426</v>
      </c>
      <c r="E12" s="530">
        <f>Cotizaciones!B13</f>
        <v>200</v>
      </c>
      <c r="F12" s="450">
        <f>'Maiz SP'!B79</f>
        <v>1346.5629048290884</v>
      </c>
      <c r="G12" s="450">
        <f>'Maiz SP'!B78</f>
        <v>1152.01</v>
      </c>
      <c r="H12" s="629">
        <f>+('Maiz SP'!B78+'Maiz SP'!E71)/'Maiz SP'!B76</f>
        <v>177.11142296128372</v>
      </c>
      <c r="I12" s="449">
        <f>'Maiz SP'!B82</f>
        <v>7.2719105545558262</v>
      </c>
      <c r="J12" s="450">
        <f>+'Maiz SP'!B80</f>
        <v>194.55290482908845</v>
      </c>
      <c r="K12" s="450">
        <f>'Maiz SP'!B83</f>
        <v>1017.01</v>
      </c>
      <c r="L12" s="450">
        <f t="shared" si="0"/>
        <v>135.53058823529412</v>
      </c>
      <c r="M12" s="477">
        <f t="shared" si="4"/>
        <v>0.67765294117647057</v>
      </c>
      <c r="N12" s="531">
        <f>'Maiz SP'!B84</f>
        <v>0.1912989103638002</v>
      </c>
      <c r="O12" s="532">
        <f>'Maiz SP'!B81</f>
        <v>0.16888126390316791</v>
      </c>
      <c r="P12" s="487">
        <f t="shared" si="1"/>
        <v>0</v>
      </c>
      <c r="Q12" s="222"/>
      <c r="R12" s="222">
        <f t="shared" si="2"/>
        <v>0</v>
      </c>
      <c r="S12" s="223">
        <f>R12*[1]Cotizaciones!$B$5</f>
        <v>0</v>
      </c>
      <c r="T12" s="118" t="s">
        <v>34</v>
      </c>
      <c r="AA12" s="249">
        <f t="shared" si="3"/>
        <v>0</v>
      </c>
      <c r="AC12" s="538"/>
      <c r="AD12" s="486"/>
      <c r="AF12" s="101">
        <f>+B12*C12</f>
        <v>0</v>
      </c>
    </row>
    <row r="13" spans="1:32" s="101" customFormat="1" x14ac:dyDescent="0.25">
      <c r="A13" s="490" t="s">
        <v>182</v>
      </c>
      <c r="B13" s="319">
        <f>'Girasol O SP'!B3</f>
        <v>0</v>
      </c>
      <c r="C13" s="296">
        <f>'Girasol O SP'!B80</f>
        <v>2.6</v>
      </c>
      <c r="D13" s="298">
        <f>+'Girasol O SP'!D27</f>
        <v>426</v>
      </c>
      <c r="E13" s="358">
        <f>'Girasol O SP'!B85</f>
        <v>380.21916527401038</v>
      </c>
      <c r="F13" s="298">
        <f>'Girasol O SP'!B87</f>
        <v>968.79843311817842</v>
      </c>
      <c r="G13" s="298">
        <f>'Girasol O SP'!B86</f>
        <v>975.72666666666669</v>
      </c>
      <c r="H13" s="633">
        <f>+('Girasol O SP'!B86+'Girasol O SP'!E73)/'Girasol O SP'!B80-'Girasol O SP'!B82</f>
        <v>355.06032190547677</v>
      </c>
      <c r="I13" s="296">
        <f>'Girasol O SP'!B90</f>
        <v>2.5662216841791636</v>
      </c>
      <c r="J13" s="298">
        <f>+'Girasol O SP'!B88</f>
        <v>-6.9282335484882651</v>
      </c>
      <c r="K13" s="298">
        <f>'Girasol O SP'!B91</f>
        <v>875.72666666666669</v>
      </c>
      <c r="L13" s="298">
        <f t="shared" si="0"/>
        <v>375.27948717948715</v>
      </c>
      <c r="M13" s="308">
        <f t="shared" si="4"/>
        <v>0.98700834006890903</v>
      </c>
      <c r="N13" s="299">
        <f>'Girasol O SP'!B92</f>
        <v>-7.9114109598370855E-3</v>
      </c>
      <c r="O13" s="340">
        <f>'Girasol O SP'!B89</f>
        <v>-7.1005885000118866E-3</v>
      </c>
      <c r="P13" s="487">
        <f t="shared" si="1"/>
        <v>0</v>
      </c>
      <c r="Q13" s="222"/>
      <c r="R13" s="222">
        <f t="shared" si="2"/>
        <v>0</v>
      </c>
      <c r="S13" s="223"/>
      <c r="T13" s="118"/>
      <c r="AA13" s="249">
        <f t="shared" si="3"/>
        <v>0</v>
      </c>
      <c r="AC13" s="538"/>
      <c r="AD13" s="486"/>
    </row>
    <row r="14" spans="1:32" s="101" customFormat="1" x14ac:dyDescent="0.25">
      <c r="A14" s="495" t="s">
        <v>31</v>
      </c>
      <c r="B14" s="312">
        <v>0</v>
      </c>
      <c r="C14" s="291">
        <f>'Girasol SP'!B83</f>
        <v>2.6</v>
      </c>
      <c r="D14" s="293">
        <f>+'Girasol SP'!D28</f>
        <v>426</v>
      </c>
      <c r="E14" s="357">
        <f>'Girasol SP'!B87</f>
        <v>373.7591652740104</v>
      </c>
      <c r="F14" s="293">
        <f>'Girasol SP'!B89</f>
        <v>971.77382971242707</v>
      </c>
      <c r="G14" s="293">
        <f>'Girasol SP'!B88</f>
        <v>972.71</v>
      </c>
      <c r="H14" s="293"/>
      <c r="I14" s="291">
        <f>'Girasol SP'!B92</f>
        <v>2.6025047420225444</v>
      </c>
      <c r="J14" s="293">
        <f>+'Girasol SP'!B90</f>
        <v>-0.93617028757296339</v>
      </c>
      <c r="K14" s="293">
        <f>'Girasol SP'!B93</f>
        <v>872.71</v>
      </c>
      <c r="L14" s="293">
        <f t="shared" si="0"/>
        <v>374.1192307692308</v>
      </c>
      <c r="M14" s="533">
        <f t="shared" si="4"/>
        <v>1.0009633623163634</v>
      </c>
      <c r="N14" s="294">
        <f>'Girasol SP'!B94</f>
        <v>-1.072716352021821E-3</v>
      </c>
      <c r="O14" s="534">
        <f>'Girasol SP'!B91</f>
        <v>-9.6243514261492463E-4</v>
      </c>
      <c r="P14" s="487">
        <f t="shared" si="1"/>
        <v>0</v>
      </c>
      <c r="Q14" s="222"/>
      <c r="R14" s="222">
        <f t="shared" si="2"/>
        <v>0</v>
      </c>
      <c r="S14" s="223">
        <f>R14*[1]Cotizaciones!$B$5</f>
        <v>0</v>
      </c>
      <c r="T14" s="118" t="s">
        <v>31</v>
      </c>
      <c r="AA14" s="249">
        <f t="shared" si="3"/>
        <v>0</v>
      </c>
      <c r="AC14" s="538"/>
      <c r="AD14" s="486"/>
    </row>
    <row r="15" spans="1:32" s="101" customFormat="1" x14ac:dyDescent="0.25">
      <c r="A15" s="490" t="s">
        <v>37</v>
      </c>
      <c r="B15" s="295">
        <f>Camelina!B3</f>
        <v>0</v>
      </c>
      <c r="C15" s="506">
        <f>Camelina!B82</f>
        <v>1</v>
      </c>
      <c r="D15" s="297">
        <f>+C57</f>
        <v>426</v>
      </c>
      <c r="E15" s="507">
        <f>Cotizaciones!B14</f>
        <v>355</v>
      </c>
      <c r="F15" s="297">
        <f>Camelina!B85</f>
        <v>416.45</v>
      </c>
      <c r="G15" s="297">
        <f>Camelina!B84</f>
        <v>399.5</v>
      </c>
      <c r="H15" s="297"/>
      <c r="I15" s="506">
        <f>Camelina!B88</f>
        <v>0.95929883539440508</v>
      </c>
      <c r="J15" s="297">
        <f>+Camelina!B86</f>
        <v>16.949999999999989</v>
      </c>
      <c r="K15" s="297">
        <f>Camelina!B89</f>
        <v>304.5</v>
      </c>
      <c r="L15" s="297">
        <f t="shared" si="0"/>
        <v>399.5</v>
      </c>
      <c r="M15" s="508">
        <f t="shared" si="4"/>
        <v>1.1253521126760564</v>
      </c>
      <c r="N15" s="509">
        <f>Camelina!B90</f>
        <v>5.5665024630541834E-2</v>
      </c>
      <c r="O15" s="510">
        <f>Camelina!B87</f>
        <v>4.2428035043804727E-2</v>
      </c>
      <c r="P15" s="487">
        <f t="shared" si="1"/>
        <v>0</v>
      </c>
      <c r="Q15" s="222"/>
      <c r="R15" s="222">
        <f t="shared" si="2"/>
        <v>0</v>
      </c>
      <c r="S15" s="223">
        <f>R15*[1]Cotizaciones!$B$5</f>
        <v>0</v>
      </c>
      <c r="T15" s="118" t="s">
        <v>37</v>
      </c>
      <c r="AA15" s="249">
        <f t="shared" si="3"/>
        <v>0</v>
      </c>
      <c r="AC15" s="538"/>
      <c r="AD15" s="486"/>
    </row>
    <row r="16" spans="1:32" s="101" customFormat="1" ht="12" x14ac:dyDescent="0.25">
      <c r="A16" s="491" t="s">
        <v>183</v>
      </c>
      <c r="B16" s="402">
        <f>+B12+B8+B14+B6+B15+B13</f>
        <v>0</v>
      </c>
      <c r="C16" s="403" t="e">
        <f>((C6*B6)+(C7*B7)+(C8*B8)+(C9*B9)+(C10*B10)+(C11*B11)+(C12*B12)+(C13*B13)+(C14*B14)+(C15*B15))/(B16+B11+B9+B7)</f>
        <v>#DIV/0!</v>
      </c>
      <c r="D16" s="404" t="e">
        <f>((D6*B6)+(D7*B7)+(D8*B8)+(D9*B9)+(D10*B10)+(D11*B11)+(D12*B12)+(D13*B13)+(D14*B14)+(D15*B15))/B16</f>
        <v>#DIV/0!</v>
      </c>
      <c r="E16" s="405" t="e">
        <f>((E6*B6)+(E7*B7)+(E8*B8)+(E9*B9)+(E10*B10)+(E11*B11)+(E12*B12)+(E13*B13)+(E14*B14)+(E15*B15))/(B16+B7+B9+B11)</f>
        <v>#DIV/0!</v>
      </c>
      <c r="F16" s="405" t="e">
        <f>((F6*B6)+(F7*B7)+(F8*B8)+(F9*B9)+(F10*B10)+(F11*B11)+(F12*B12)+(F13*B13)+(F14*B14)+(F15*B15))/(B16)</f>
        <v>#DIV/0!</v>
      </c>
      <c r="G16" s="405" t="e">
        <f>((G6*B6)+(G7*B7)+(G8*B8)+(G9*B9)+(G10*B10)+(G11*B11)+(G12*B12)+(G13*B13)+(G14*B14)+(G15*B15))/(B16)</f>
        <v>#DIV/0!</v>
      </c>
      <c r="H16" s="405"/>
      <c r="I16" s="403" t="e">
        <f>((I6*B6)+(I7*B7)+(I8*B8)+(I9*B9)+(I10*B10)+(I11*B11)+(I12*B12)+(I13*B13)+(I14*B14)+(I15*B15))/(B16+B7+B9+B11)</f>
        <v>#DIV/0!</v>
      </c>
      <c r="J16" s="406" t="e">
        <f>J17/B16</f>
        <v>#DIV/0!</v>
      </c>
      <c r="K16" s="404" t="e">
        <f>((K6*B6)+(K7*B7)+(K8*B8)+(K9*B9)+(K10*B10)+(K11*B11)+(K12*B12)+(K13*B13)+(K14*B14)+(K15*B15))/(B16+B7+B9+B11)</f>
        <v>#DIV/0!</v>
      </c>
      <c r="L16" s="404"/>
      <c r="M16" s="404"/>
      <c r="N16" s="407" t="s">
        <v>184</v>
      </c>
      <c r="O16" s="407" t="e">
        <f>J16/K16</f>
        <v>#DIV/0!</v>
      </c>
      <c r="P16" s="249">
        <f t="shared" ref="P16:AA16" si="5">SUM(P6:P15)</f>
        <v>0</v>
      </c>
      <c r="Q16" s="249">
        <f t="shared" si="5"/>
        <v>170.05</v>
      </c>
      <c r="R16" s="249">
        <f t="shared" si="5"/>
        <v>0</v>
      </c>
      <c r="S16" s="249">
        <f t="shared" si="5"/>
        <v>0</v>
      </c>
      <c r="T16" s="249">
        <f t="shared" si="5"/>
        <v>0</v>
      </c>
      <c r="U16" s="249">
        <f t="shared" si="5"/>
        <v>0</v>
      </c>
      <c r="V16" s="249">
        <f t="shared" si="5"/>
        <v>0</v>
      </c>
      <c r="W16" s="249">
        <f t="shared" si="5"/>
        <v>0</v>
      </c>
      <c r="X16" s="249">
        <f t="shared" si="5"/>
        <v>0</v>
      </c>
      <c r="Y16" s="249">
        <f t="shared" si="5"/>
        <v>0</v>
      </c>
      <c r="Z16" s="249">
        <f t="shared" si="5"/>
        <v>0</v>
      </c>
      <c r="AA16" s="249">
        <f t="shared" si="5"/>
        <v>0</v>
      </c>
      <c r="AC16" s="538"/>
      <c r="AD16" s="486"/>
    </row>
    <row r="17" spans="1:30" s="101" customFormat="1" ht="15.6" x14ac:dyDescent="0.3">
      <c r="A17" s="491" t="s">
        <v>185</v>
      </c>
      <c r="B17" s="402"/>
      <c r="C17" s="403"/>
      <c r="D17" s="405">
        <f>+'[2]Alquileres por campo'!$S$64</f>
        <v>0</v>
      </c>
      <c r="E17" s="404"/>
      <c r="F17" s="406">
        <f>((F6*B6)+(F7*B7)+(F8*B8)+(F9*B9)+(F10*B10)+(F11*B11)+(F12*B12)+(F13*B13)+(F14*B14)+(F15*B15))</f>
        <v>0</v>
      </c>
      <c r="G17" s="405">
        <f>((G6*B6)+(G7*B7)+(G8*B8)+(G9*B9)+(G10*B10)+(G11*B11)+(G12*B12)+(G13*B13)+(G14*B14)+(G15*B15))</f>
        <v>0</v>
      </c>
      <c r="H17" s="405"/>
      <c r="I17" s="403"/>
      <c r="J17" s="406">
        <f>((J6*B6)+(J7*B7)+(J8*B8)+(J9*B9)+(J10*B10)+(J11*B11)+(J12*B12)+(J13*B13)+(J14*B14)+(J15*B15))</f>
        <v>0</v>
      </c>
      <c r="K17" s="406">
        <f>((K6*B6)+(K7*B7)+(K8*B8)+(K9*B9)+(K10*B10)+(K11*B11)+(K12*B12)+(K13*B13)+(K14*B14)+(K15*B15))</f>
        <v>0</v>
      </c>
      <c r="L17" s="406"/>
      <c r="M17" s="406"/>
      <c r="N17" s="634" t="s">
        <v>186</v>
      </c>
      <c r="O17" s="634" t="e">
        <f>J16/G16</f>
        <v>#DIV/0!</v>
      </c>
      <c r="P17" s="249"/>
      <c r="AC17" s="538"/>
      <c r="AD17" s="486" t="s">
        <v>27</v>
      </c>
    </row>
    <row r="18" spans="1:30" s="101" customFormat="1" ht="12" hidden="1" x14ac:dyDescent="0.25">
      <c r="A18" s="492"/>
      <c r="B18" s="305"/>
      <c r="C18" s="493"/>
      <c r="D18" s="305"/>
      <c r="E18" s="305"/>
      <c r="F18" s="305"/>
      <c r="G18" s="305"/>
      <c r="H18" s="305"/>
      <c r="I18" s="493"/>
      <c r="J18" s="306"/>
      <c r="K18" s="305"/>
      <c r="L18" s="305"/>
      <c r="M18" s="305"/>
      <c r="N18" s="305"/>
      <c r="O18" s="305"/>
      <c r="P18" s="249"/>
      <c r="AC18" s="538"/>
      <c r="AD18" s="486"/>
    </row>
    <row r="19" spans="1:30" s="101" customFormat="1" ht="12.6" hidden="1" thickBot="1" x14ac:dyDescent="0.3">
      <c r="A19" s="494"/>
      <c r="B19" s="712" t="s">
        <v>187</v>
      </c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4"/>
      <c r="Q19" s="249"/>
      <c r="AC19" s="538"/>
      <c r="AD19" s="486"/>
    </row>
    <row r="20" spans="1:30" s="101" customFormat="1" ht="12" hidden="1" x14ac:dyDescent="0.25">
      <c r="A20" s="485"/>
      <c r="B20" s="286" t="s">
        <v>156</v>
      </c>
      <c r="C20" s="287" t="s">
        <v>157</v>
      </c>
      <c r="D20" s="286" t="s">
        <v>158</v>
      </c>
      <c r="E20" s="286" t="s">
        <v>159</v>
      </c>
      <c r="F20" s="286" t="s">
        <v>160</v>
      </c>
      <c r="G20" s="286" t="s">
        <v>161</v>
      </c>
      <c r="H20" s="286"/>
      <c r="I20" s="287" t="s">
        <v>188</v>
      </c>
      <c r="J20" s="286" t="s">
        <v>163</v>
      </c>
      <c r="K20" s="286" t="s">
        <v>164</v>
      </c>
      <c r="L20" s="474"/>
      <c r="M20" s="474"/>
      <c r="N20" s="343" t="s">
        <v>167</v>
      </c>
      <c r="O20" s="344" t="s">
        <v>167</v>
      </c>
      <c r="AC20" s="538"/>
      <c r="AD20" s="486"/>
    </row>
    <row r="21" spans="1:30" s="101" customFormat="1" ht="12" hidden="1" x14ac:dyDescent="0.25">
      <c r="A21" s="485"/>
      <c r="B21" s="285"/>
      <c r="C21" s="288" t="s">
        <v>169</v>
      </c>
      <c r="D21" s="289" t="s">
        <v>170</v>
      </c>
      <c r="E21" s="289" t="s">
        <v>171</v>
      </c>
      <c r="F21" s="289" t="s">
        <v>170</v>
      </c>
      <c r="G21" s="289" t="s">
        <v>170</v>
      </c>
      <c r="H21" s="289"/>
      <c r="I21" s="288" t="s">
        <v>169</v>
      </c>
      <c r="J21" s="289" t="s">
        <v>174</v>
      </c>
      <c r="K21" s="289" t="s">
        <v>189</v>
      </c>
      <c r="L21" s="341"/>
      <c r="M21" s="341"/>
      <c r="N21" s="341" t="s">
        <v>190</v>
      </c>
      <c r="O21" s="289" t="s">
        <v>191</v>
      </c>
      <c r="AC21" s="538"/>
      <c r="AD21" s="486"/>
    </row>
    <row r="22" spans="1:30" s="101" customFormat="1" ht="12.75" hidden="1" customHeight="1" x14ac:dyDescent="0.25">
      <c r="A22" s="689" t="s">
        <v>178</v>
      </c>
      <c r="B22" s="295">
        <v>0</v>
      </c>
      <c r="C22" s="296">
        <f>'Trigo SS'!B71</f>
        <v>4</v>
      </c>
      <c r="D22" s="297">
        <v>224</v>
      </c>
      <c r="E22" s="298">
        <f t="shared" ref="E22:E27" si="6">E6</f>
        <v>230</v>
      </c>
      <c r="F22" s="298">
        <f>'Trigo SS'!B74</f>
        <v>920</v>
      </c>
      <c r="G22" s="298">
        <f>'Trigo SS'!B73</f>
        <v>722.52874999999995</v>
      </c>
      <c r="H22" s="298"/>
      <c r="I22" s="296">
        <f>'Trigo SS'!B77</f>
        <v>3.0386015092502432</v>
      </c>
      <c r="J22" s="298">
        <f>'Trigo SS'!B75</f>
        <v>197.47125000000005</v>
      </c>
      <c r="K22" s="298">
        <f>'Trigo SS'!B78</f>
        <v>497.25</v>
      </c>
      <c r="L22" s="298"/>
      <c r="M22" s="298"/>
      <c r="N22" s="307">
        <f>'Trigo SS'!B79</f>
        <v>0.39712669683257928</v>
      </c>
      <c r="O22" s="687">
        <f>'Trigo SS'!H79</f>
        <v>0.26093483418089625</v>
      </c>
      <c r="P22" s="487">
        <f t="shared" ref="P22:P31" si="7">G22*B22</f>
        <v>0</v>
      </c>
      <c r="Q22" s="222">
        <f>'[1]Trigo SP'!E46</f>
        <v>78.844999999999999</v>
      </c>
      <c r="R22" s="222">
        <f t="shared" ref="R22:R31" si="8">Q22*B22</f>
        <v>0</v>
      </c>
      <c r="S22" s="223">
        <f>R22*[1]Cotizaciones!$B$5</f>
        <v>0</v>
      </c>
      <c r="T22" s="681" t="s">
        <v>178</v>
      </c>
      <c r="AA22" s="249">
        <f t="shared" ref="AA22:AA31" si="9">(J22+G22)*B22</f>
        <v>0</v>
      </c>
      <c r="AC22" s="538"/>
      <c r="AD22" s="486"/>
    </row>
    <row r="23" spans="1:30" s="101" customFormat="1" ht="12.75" hidden="1" customHeight="1" x14ac:dyDescent="0.25">
      <c r="A23" s="690"/>
      <c r="B23" s="295">
        <v>0</v>
      </c>
      <c r="C23" s="296">
        <f>C7</f>
        <v>1.3</v>
      </c>
      <c r="D23" s="297">
        <v>56</v>
      </c>
      <c r="E23" s="298">
        <f t="shared" si="6"/>
        <v>355</v>
      </c>
      <c r="F23" s="298">
        <f>'Soja 2da. T'!B76</f>
        <v>414.33491485621352</v>
      </c>
      <c r="G23" s="298">
        <f>G7</f>
        <v>404.65</v>
      </c>
      <c r="H23" s="298"/>
      <c r="I23" s="296">
        <f>I7</f>
        <v>1.2696130138647697</v>
      </c>
      <c r="J23" s="298">
        <f>J7</f>
        <v>9.6849148562135383</v>
      </c>
      <c r="K23" s="298">
        <f>K7</f>
        <v>296.64999999999998</v>
      </c>
      <c r="L23" s="298"/>
      <c r="M23" s="298"/>
      <c r="N23" s="308">
        <f>N7</f>
        <v>3.2647614549851808E-2</v>
      </c>
      <c r="O23" s="688"/>
      <c r="P23" s="487">
        <f t="shared" si="7"/>
        <v>0</v>
      </c>
      <c r="Q23" s="222">
        <f>'[1]Soja 2da. C'!E44</f>
        <v>5.1179999999999994</v>
      </c>
      <c r="R23" s="222">
        <f t="shared" si="8"/>
        <v>0</v>
      </c>
      <c r="S23" s="223">
        <f>R23*[1]Cotizaciones!$B$5</f>
        <v>0</v>
      </c>
      <c r="T23" s="682"/>
      <c r="AA23" s="249">
        <f t="shared" si="9"/>
        <v>0</v>
      </c>
      <c r="AC23" s="538"/>
      <c r="AD23" s="486"/>
    </row>
    <row r="24" spans="1:30" s="101" customFormat="1" ht="12.75" hidden="1" customHeight="1" x14ac:dyDescent="0.25">
      <c r="A24" s="685" t="s">
        <v>179</v>
      </c>
      <c r="B24" s="290">
        <v>0</v>
      </c>
      <c r="C24" s="291">
        <f>'Cebada SS '!B73</f>
        <v>5</v>
      </c>
      <c r="D24" s="292">
        <v>224</v>
      </c>
      <c r="E24" s="293">
        <f t="shared" si="6"/>
        <v>245</v>
      </c>
      <c r="F24" s="293">
        <f>'Cebada SS '!B76</f>
        <v>1225</v>
      </c>
      <c r="G24" s="293">
        <f>+'Cebada SS '!E70</f>
        <v>832.447</v>
      </c>
      <c r="H24" s="293"/>
      <c r="I24" s="291">
        <f>'Cebada SS '!B79</f>
        <v>3.2189065335753178</v>
      </c>
      <c r="J24" s="293">
        <f>'Cebada SS '!B77</f>
        <v>392.553</v>
      </c>
      <c r="K24" s="293">
        <f>'Cebada SS '!B80</f>
        <v>569.86500000000001</v>
      </c>
      <c r="L24" s="447"/>
      <c r="M24" s="447"/>
      <c r="N24" s="700">
        <f>'Cebada SS '!B81</f>
        <v>0.68885262298965544</v>
      </c>
      <c r="O24" s="683">
        <f>'Cebada SS '!B78</f>
        <v>0.47156515670066684</v>
      </c>
      <c r="P24" s="487">
        <f t="shared" si="7"/>
        <v>0</v>
      </c>
      <c r="Q24" s="222">
        <f>'[1]Cebada SP'!E46</f>
        <v>0</v>
      </c>
      <c r="R24" s="222">
        <f t="shared" si="8"/>
        <v>0</v>
      </c>
      <c r="S24" s="223">
        <f>R24*[1]Cotizaciones!$B$5</f>
        <v>0</v>
      </c>
      <c r="T24" s="681" t="s">
        <v>179</v>
      </c>
      <c r="AA24" s="249">
        <f t="shared" si="9"/>
        <v>0</v>
      </c>
      <c r="AC24" s="538"/>
      <c r="AD24" s="486"/>
    </row>
    <row r="25" spans="1:30" s="101" customFormat="1" ht="12.75" hidden="1" customHeight="1" x14ac:dyDescent="0.25">
      <c r="A25" s="686"/>
      <c r="B25" s="290">
        <v>0</v>
      </c>
      <c r="C25" s="291">
        <f>'Soja 2da. C'!B74</f>
        <v>1.5</v>
      </c>
      <c r="D25" s="292">
        <v>56</v>
      </c>
      <c r="E25" s="293">
        <f t="shared" si="6"/>
        <v>355</v>
      </c>
      <c r="F25" s="293">
        <f>'Soja 2da. C'!B77</f>
        <v>472.41267295279533</v>
      </c>
      <c r="G25" s="293">
        <f>'Soja 2da. C'!B76</f>
        <v>399</v>
      </c>
      <c r="H25" s="293"/>
      <c r="I25" s="291">
        <f>'Soja 2da. C'!B80</f>
        <v>1.2415627979112398</v>
      </c>
      <c r="J25" s="293">
        <f>'Soja 2da. C'!B78</f>
        <v>73.412672952795333</v>
      </c>
      <c r="K25" s="293">
        <f>'Soja 2da. C'!B81</f>
        <v>301</v>
      </c>
      <c r="L25" s="450"/>
      <c r="M25" s="450"/>
      <c r="N25" s="701"/>
      <c r="O25" s="684"/>
      <c r="P25" s="487">
        <f t="shared" si="7"/>
        <v>0</v>
      </c>
      <c r="Q25" s="222">
        <f>'[1]Soja 2da. C'!E44</f>
        <v>5.1179999999999994</v>
      </c>
      <c r="R25" s="222">
        <f t="shared" si="8"/>
        <v>0</v>
      </c>
      <c r="S25" s="223">
        <f>R25*[1]Cotizaciones!$B$5</f>
        <v>0</v>
      </c>
      <c r="T25" s="682"/>
      <c r="AA25" s="249">
        <f t="shared" si="9"/>
        <v>0</v>
      </c>
      <c r="AC25" s="538"/>
      <c r="AD25" s="486"/>
    </row>
    <row r="26" spans="1:30" s="101" customFormat="1" ht="12.75" hidden="1" customHeight="1" x14ac:dyDescent="0.25">
      <c r="A26" s="689" t="s">
        <v>181</v>
      </c>
      <c r="B26" s="295">
        <v>0</v>
      </c>
      <c r="C26" s="296">
        <f>'Girasol 2da'!B69</f>
        <v>1.3</v>
      </c>
      <c r="D26" s="310">
        <v>224</v>
      </c>
      <c r="E26" s="298">
        <f t="shared" si="6"/>
        <v>200</v>
      </c>
      <c r="F26" s="311">
        <f>'Girasol 2da'!B73</f>
        <v>522.91365468542529</v>
      </c>
      <c r="G26" s="311">
        <f>'Girasol 2da'!B72</f>
        <v>507.33333333333337</v>
      </c>
      <c r="H26" s="311"/>
      <c r="I26" s="311">
        <f>'Girasol 2da'!B76</f>
        <v>1.123673549465297</v>
      </c>
      <c r="J26" s="311">
        <f>'Girasol 2da'!B74</f>
        <v>15.580321352091914</v>
      </c>
      <c r="K26" s="311">
        <f>'Girasol 2da'!B77</f>
        <v>411.29333333333341</v>
      </c>
      <c r="L26" s="311"/>
      <c r="M26" s="311"/>
      <c r="N26" s="308">
        <f>'Girasol 2da'!B78</f>
        <v>3.7881288339446081E-2</v>
      </c>
      <c r="O26" s="687">
        <f>'Girasol 2da'!H78</f>
        <v>0</v>
      </c>
      <c r="P26" s="487">
        <f t="shared" si="7"/>
        <v>0</v>
      </c>
      <c r="Q26" s="222"/>
      <c r="R26" s="222">
        <f t="shared" si="8"/>
        <v>0</v>
      </c>
      <c r="S26" s="223">
        <f>R26*[1]Cotizaciones!$B$5</f>
        <v>0</v>
      </c>
      <c r="T26" s="681" t="s">
        <v>181</v>
      </c>
      <c r="AA26" s="249">
        <f t="shared" si="9"/>
        <v>0</v>
      </c>
      <c r="AC26" s="538"/>
      <c r="AD26" s="486"/>
    </row>
    <row r="27" spans="1:30" s="101" customFormat="1" ht="12.75" hidden="1" customHeight="1" x14ac:dyDescent="0.25">
      <c r="A27" s="690"/>
      <c r="B27" s="295">
        <v>0</v>
      </c>
      <c r="C27" s="296">
        <f>'Soja 2da. Co'!B71</f>
        <v>1.5</v>
      </c>
      <c r="D27" s="310">
        <v>56</v>
      </c>
      <c r="E27" s="298">
        <f t="shared" si="6"/>
        <v>450</v>
      </c>
      <c r="F27" s="298">
        <f>'Soja 2da. Co'!B74</f>
        <v>532.5</v>
      </c>
      <c r="G27" s="298">
        <f>G11</f>
        <v>972.71</v>
      </c>
      <c r="H27" s="298"/>
      <c r="I27" s="296">
        <f>I11</f>
        <v>2.6025047420225444</v>
      </c>
      <c r="J27" s="298">
        <f>J11</f>
        <v>-0.93617028757296339</v>
      </c>
      <c r="K27" s="298">
        <f>K11</f>
        <v>872.71</v>
      </c>
      <c r="L27" s="298"/>
      <c r="M27" s="298"/>
      <c r="N27" s="308">
        <f>N11</f>
        <v>-1.072716352021821E-3</v>
      </c>
      <c r="O27" s="688"/>
      <c r="P27" s="487">
        <f t="shared" si="7"/>
        <v>0</v>
      </c>
      <c r="Q27" s="222">
        <f>'[1]Soja 2da. C'!E44</f>
        <v>5.1179999999999994</v>
      </c>
      <c r="R27" s="222">
        <f t="shared" si="8"/>
        <v>0</v>
      </c>
      <c r="S27" s="223">
        <f>R27*[1]Cotizaciones!$B$5</f>
        <v>0</v>
      </c>
      <c r="T27" s="682"/>
      <c r="AA27" s="249">
        <f t="shared" si="9"/>
        <v>0</v>
      </c>
      <c r="AC27" s="538"/>
      <c r="AD27" s="486"/>
    </row>
    <row r="28" spans="1:30" s="101" customFormat="1" ht="12.75" hidden="1" customHeight="1" x14ac:dyDescent="0.25">
      <c r="A28" s="495" t="s">
        <v>34</v>
      </c>
      <c r="B28" s="312">
        <v>0</v>
      </c>
      <c r="C28" s="291">
        <v>5.5</v>
      </c>
      <c r="D28" s="312">
        <v>0</v>
      </c>
      <c r="E28" s="312">
        <v>0</v>
      </c>
      <c r="F28" s="312">
        <v>0</v>
      </c>
      <c r="G28" s="312">
        <v>0</v>
      </c>
      <c r="H28" s="312"/>
      <c r="I28" s="312">
        <v>0</v>
      </c>
      <c r="J28" s="312">
        <v>0</v>
      </c>
      <c r="K28" s="312">
        <v>0</v>
      </c>
      <c r="L28" s="312"/>
      <c r="M28" s="312"/>
      <c r="N28" s="313">
        <v>0</v>
      </c>
      <c r="O28" s="345"/>
      <c r="P28" s="487">
        <f t="shared" si="7"/>
        <v>0</v>
      </c>
      <c r="Q28" s="222"/>
      <c r="R28" s="222">
        <f t="shared" si="8"/>
        <v>0</v>
      </c>
      <c r="S28" s="223">
        <f>R28*[1]Cotizaciones!$B$5</f>
        <v>0</v>
      </c>
      <c r="T28" s="118" t="s">
        <v>34</v>
      </c>
      <c r="AA28" s="249">
        <f t="shared" si="9"/>
        <v>0</v>
      </c>
      <c r="AC28" s="538"/>
      <c r="AD28" s="486"/>
    </row>
    <row r="29" spans="1:30" s="101" customFormat="1" ht="12.75" hidden="1" customHeight="1" x14ac:dyDescent="0.25">
      <c r="A29" s="490" t="s">
        <v>31</v>
      </c>
      <c r="B29" s="295">
        <v>0</v>
      </c>
      <c r="C29" s="296">
        <v>2</v>
      </c>
      <c r="D29" s="297">
        <v>280</v>
      </c>
      <c r="E29" s="298">
        <f>E14</f>
        <v>373.7591652740104</v>
      </c>
      <c r="F29" s="298">
        <f>'Girasol SS'!B82</f>
        <v>1166.3999999999999</v>
      </c>
      <c r="G29" s="298">
        <f>'Girasol SS'!B81</f>
        <v>745.87253333333319</v>
      </c>
      <c r="H29" s="298"/>
      <c r="I29" s="296">
        <f>'Girasol SS'!B85</f>
        <v>1.4863064276661233</v>
      </c>
      <c r="J29" s="298">
        <f>'Girasol SS'!B83</f>
        <v>420.52746666666667</v>
      </c>
      <c r="K29" s="298">
        <f>'Girasol SS'!B86</f>
        <v>550.93333333333328</v>
      </c>
      <c r="L29" s="298"/>
      <c r="M29" s="298"/>
      <c r="N29" s="307">
        <f>'Girasol SS'!B87</f>
        <v>0.76330009680542121</v>
      </c>
      <c r="O29" s="346"/>
      <c r="P29" s="487">
        <f t="shared" si="7"/>
        <v>0</v>
      </c>
      <c r="Q29" s="222"/>
      <c r="R29" s="222">
        <f t="shared" si="8"/>
        <v>0</v>
      </c>
      <c r="S29" s="223"/>
      <c r="T29" s="118"/>
      <c r="AA29" s="249">
        <f t="shared" si="9"/>
        <v>0</v>
      </c>
      <c r="AC29" s="538"/>
      <c r="AD29" s="486"/>
    </row>
    <row r="30" spans="1:30" s="101" customFormat="1" hidden="1" x14ac:dyDescent="0.25">
      <c r="A30" s="490" t="s">
        <v>182</v>
      </c>
      <c r="B30" s="322">
        <v>0</v>
      </c>
      <c r="C30" s="323">
        <f>'Girasol O SS'!B74</f>
        <v>2</v>
      </c>
      <c r="D30" s="324">
        <v>280</v>
      </c>
      <c r="E30" s="325">
        <f>E13</f>
        <v>380.21916527401038</v>
      </c>
      <c r="F30" s="325">
        <f>E30*C30</f>
        <v>760.43833054802076</v>
      </c>
      <c r="G30" s="325">
        <f>'Girasol O SS'!B80</f>
        <v>740.01535999999987</v>
      </c>
      <c r="H30" s="325"/>
      <c r="I30" s="323">
        <f>'Girasol O SS'!B84</f>
        <v>1.3690907178968652</v>
      </c>
      <c r="J30" s="325">
        <f>'Girasol O SS'!B82</f>
        <v>311.98464000000013</v>
      </c>
      <c r="K30" s="325">
        <f>'Girasol O SS'!B85</f>
        <v>546.07999999999993</v>
      </c>
      <c r="L30" s="325"/>
      <c r="M30" s="325"/>
      <c r="N30" s="326">
        <f>'Girasol O SS'!B86</f>
        <v>0.57131673014942896</v>
      </c>
      <c r="O30" s="342">
        <f>'Girasol O SS'!B83</f>
        <v>0.42159211397990465</v>
      </c>
      <c r="P30" s="487">
        <f t="shared" si="7"/>
        <v>0</v>
      </c>
      <c r="Q30" s="222"/>
      <c r="R30" s="222">
        <f t="shared" si="8"/>
        <v>0</v>
      </c>
      <c r="S30" s="223">
        <f>R30*[1]Cotizaciones!$B$5</f>
        <v>0</v>
      </c>
      <c r="T30" s="118" t="s">
        <v>31</v>
      </c>
      <c r="AA30" s="249">
        <f t="shared" si="9"/>
        <v>0</v>
      </c>
      <c r="AC30" s="538"/>
      <c r="AD30" s="486"/>
    </row>
    <row r="31" spans="1:30" s="101" customFormat="1" hidden="1" x14ac:dyDescent="0.25">
      <c r="A31" s="495" t="s">
        <v>37</v>
      </c>
      <c r="B31" s="290">
        <v>0</v>
      </c>
      <c r="C31" s="291">
        <f>'Soja SS'!B81</f>
        <v>2.8</v>
      </c>
      <c r="D31" s="292">
        <v>280</v>
      </c>
      <c r="E31" s="293">
        <f>E15</f>
        <v>355</v>
      </c>
      <c r="F31" s="293">
        <f>'Soja SS'!B84</f>
        <v>993.99999999999989</v>
      </c>
      <c r="G31" s="293">
        <f>'Soja SS'!E73</f>
        <v>934.26970000000006</v>
      </c>
      <c r="H31" s="293"/>
      <c r="I31" s="291">
        <f>'Soja SS'!B87</f>
        <v>2.6185867881548974</v>
      </c>
      <c r="J31" s="293">
        <f>'Soja SS'!B85</f>
        <v>59.730299999999829</v>
      </c>
      <c r="K31" s="293">
        <f>'Soja SS'!B88</f>
        <v>653.15</v>
      </c>
      <c r="L31" s="293"/>
      <c r="M31" s="293"/>
      <c r="N31" s="309">
        <f>'Soja SS'!B89</f>
        <v>9.1449590446298454E-2</v>
      </c>
      <c r="O31" s="309">
        <f>'Soja SS'!B86</f>
        <v>6.9279052604144895E-2</v>
      </c>
      <c r="P31" s="487">
        <f t="shared" si="7"/>
        <v>0</v>
      </c>
      <c r="Q31" s="222"/>
      <c r="R31" s="222">
        <f t="shared" si="8"/>
        <v>0</v>
      </c>
      <c r="S31" s="223">
        <f>R31*[1]Cotizaciones!$B$5</f>
        <v>0</v>
      </c>
      <c r="T31" s="118" t="s">
        <v>37</v>
      </c>
      <c r="AA31" s="249">
        <f t="shared" si="9"/>
        <v>0</v>
      </c>
      <c r="AC31" s="538"/>
      <c r="AD31" s="486"/>
    </row>
    <row r="32" spans="1:30" s="101" customFormat="1" ht="12" hidden="1" x14ac:dyDescent="0.25">
      <c r="A32" s="496" t="s">
        <v>183</v>
      </c>
      <c r="B32" s="301">
        <f>SUM(B22:B31)-B23-B25-B27</f>
        <v>0</v>
      </c>
      <c r="C32" s="302" t="e">
        <f>((C22*B22)+(C23*B23)+(C24*B24)+(C25*B25)+(C26*B26)+(C27*B27)+(C28*B28)+(C29*B29)+(C30*B30)+(C31*B31))/(B32+B27+B25+B23)</f>
        <v>#DIV/0!</v>
      </c>
      <c r="D32" s="303" t="e">
        <f>((D22*B22)+(D23*B23)+(D24*B24)+(D25*B25)+(D26*B26)+(D27*B27)+(D28*B28)+(D29*B29)+(D30*B30)+(D31*B31))/B32</f>
        <v>#DIV/0!</v>
      </c>
      <c r="E32" s="303" t="e">
        <f>((E22*B22)+(E23*B23)+(E24*B24)+(E25*B25)+(E26*B26)+(E27*B27)+(E28*B28)+(E29*B29)+(E30*B30)+(E31*B31))/(B32+B23+B25+B27)</f>
        <v>#DIV/0!</v>
      </c>
      <c r="F32" s="303" t="e">
        <f>((F22*B22)+(F23*B23)+(F24*B24)+(F25*B25)+(F26*B26)+(F27*B27)+(F28*B28)+(F29*B29)+(F30*B30)+(F31*B31))/(B32+B25)</f>
        <v>#DIV/0!</v>
      </c>
      <c r="G32" s="303" t="e">
        <f>((G22*B22)+(G23*B23)+(G24*B24)+(G25*B25)+(G26*B26)+(G27*B27)+(G28*B28)+(G29*B29)+(G30*B30)+(G31*B31))/(B32+B25)</f>
        <v>#DIV/0!</v>
      </c>
      <c r="H32" s="303"/>
      <c r="I32" s="302" t="e">
        <f>((I22*B22)+(I23*B23)+(I24*B24)+(I25*B25)+(I26*B26)+(I27*B27)+(I28*B28)+(I29*B29)+(I30*B30)+(I31*B31))/(B32+B23+B25+B27)</f>
        <v>#DIV/0!</v>
      </c>
      <c r="J32" s="303" t="e">
        <f>((J22*B22)+(J23*B23)+(J24*B24)+(J25*B25)+(J26*B26)+(J27*B27)+(J28*B28)+(J29*B29)+(J30*B30)+(J31*B31))/(B32+B25)</f>
        <v>#DIV/0!</v>
      </c>
      <c r="K32" s="303" t="e">
        <f>((K22*B22)+(K23*B23)+(K24*B24)+(K25*B25)+(K26*B26)+(K27*B27)+(K28*B28)+(K29*B29)+(B30*K30)+(K31*B31))/(B32+B25)</f>
        <v>#DIV/0!</v>
      </c>
      <c r="L32" s="303"/>
      <c r="M32" s="303"/>
      <c r="N32" s="304" t="s">
        <v>192</v>
      </c>
      <c r="O32" s="304" t="e">
        <f>J32/K32</f>
        <v>#DIV/0!</v>
      </c>
      <c r="P32" s="249">
        <f t="shared" ref="P32:AA32" si="10">SUM(P22:P31)</f>
        <v>0</v>
      </c>
      <c r="Q32" s="249">
        <f t="shared" si="10"/>
        <v>94.198999999999984</v>
      </c>
      <c r="R32" s="249">
        <f t="shared" si="10"/>
        <v>0</v>
      </c>
      <c r="S32" s="249">
        <f t="shared" si="10"/>
        <v>0</v>
      </c>
      <c r="T32" s="249">
        <f t="shared" si="10"/>
        <v>0</v>
      </c>
      <c r="U32" s="249">
        <f t="shared" si="10"/>
        <v>0</v>
      </c>
      <c r="V32" s="249">
        <f t="shared" si="10"/>
        <v>0</v>
      </c>
      <c r="W32" s="249">
        <f t="shared" si="10"/>
        <v>0</v>
      </c>
      <c r="X32" s="249">
        <f t="shared" si="10"/>
        <v>0</v>
      </c>
      <c r="Y32" s="249">
        <f t="shared" si="10"/>
        <v>0</v>
      </c>
      <c r="Z32" s="249">
        <f t="shared" si="10"/>
        <v>0</v>
      </c>
      <c r="AA32" s="249">
        <f t="shared" si="10"/>
        <v>0</v>
      </c>
      <c r="AC32" s="538"/>
      <c r="AD32" s="486"/>
    </row>
    <row r="33" spans="1:27" s="101" customFormat="1" ht="12" hidden="1" x14ac:dyDescent="0.25">
      <c r="A33" s="496" t="s">
        <v>185</v>
      </c>
      <c r="B33" s="301"/>
      <c r="C33" s="302"/>
      <c r="D33" s="303">
        <f>((D22*B22)+(D23*B23)+(D24*B24)+(D25*B25)+(D26*B26)+(D27*B27)+(D28*B28)+(D29*B29)+(D30*B30)+(D31*B31))</f>
        <v>0</v>
      </c>
      <c r="E33" s="303"/>
      <c r="F33" s="303">
        <f>((F22*B22)+(F23*B23)+(F24*B24)+(F25*B25)+(F26*B26)+(F27*B27)+(F28*B28)+(F29*B29)+(F30*B30)+(F31*B31))</f>
        <v>0</v>
      </c>
      <c r="G33" s="303">
        <f>((G22*B22)+(G23*B23)+(G24*B24)+(G25*B25)+(G26*B26)+(G27*B27)+(G28*B28)+(G29*B29)+(G30*B30)+(G31*B31))</f>
        <v>0</v>
      </c>
      <c r="H33" s="303"/>
      <c r="I33" s="302"/>
      <c r="J33" s="303">
        <f>((J22*B22)+(J23*B23)+(J24*B24)+(J25*B25)+(J26*B26)+(J27*B27)+(J28*B28)+(J29*B29)+(J30*B30)+(J31*B31))</f>
        <v>0</v>
      </c>
      <c r="K33" s="303">
        <f>((K22*B22)+(K23*B23)+(K24*B24)+(K25*B25)+(K26*B26)+(K27*B27)+(K28*B28)+(K29*B29)+(B30*K30)+(K31*B31))</f>
        <v>0</v>
      </c>
      <c r="L33" s="303"/>
      <c r="M33" s="303"/>
      <c r="N33" s="304" t="s">
        <v>193</v>
      </c>
      <c r="O33" s="304" t="e">
        <f>J32/G32</f>
        <v>#DIV/0!</v>
      </c>
      <c r="P33" s="249"/>
    </row>
    <row r="34" spans="1:27" s="101" customFormat="1" ht="12" hidden="1" x14ac:dyDescent="0.25">
      <c r="A34" s="497"/>
      <c r="B34" s="314"/>
      <c r="C34" s="315"/>
      <c r="D34" s="316"/>
      <c r="E34" s="316"/>
      <c r="F34" s="316"/>
      <c r="G34" s="316"/>
      <c r="H34" s="316"/>
      <c r="I34" s="315"/>
      <c r="J34" s="316"/>
      <c r="K34" s="316"/>
      <c r="L34" s="316"/>
      <c r="M34" s="316"/>
      <c r="N34" s="317"/>
      <c r="O34" s="318"/>
    </row>
    <row r="35" spans="1:27" s="101" customFormat="1" ht="12.6" hidden="1" thickBot="1" x14ac:dyDescent="0.3">
      <c r="A35" s="494"/>
      <c r="B35" s="694" t="s">
        <v>194</v>
      </c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6"/>
    </row>
    <row r="36" spans="1:27" s="101" customFormat="1" ht="12" hidden="1" x14ac:dyDescent="0.25">
      <c r="A36" s="485"/>
      <c r="B36" s="286" t="s">
        <v>156</v>
      </c>
      <c r="C36" s="287" t="s">
        <v>157</v>
      </c>
      <c r="D36" s="286" t="s">
        <v>158</v>
      </c>
      <c r="E36" s="286" t="s">
        <v>159</v>
      </c>
      <c r="F36" s="286" t="s">
        <v>160</v>
      </c>
      <c r="G36" s="286" t="s">
        <v>161</v>
      </c>
      <c r="H36" s="286"/>
      <c r="I36" s="287" t="s">
        <v>188</v>
      </c>
      <c r="J36" s="286" t="s">
        <v>163</v>
      </c>
      <c r="K36" s="286" t="s">
        <v>164</v>
      </c>
      <c r="L36" s="474"/>
      <c r="M36" s="474"/>
      <c r="N36" s="343" t="s">
        <v>167</v>
      </c>
      <c r="O36" s="344" t="s">
        <v>167</v>
      </c>
    </row>
    <row r="37" spans="1:27" s="101" customFormat="1" ht="12" hidden="1" x14ac:dyDescent="0.25">
      <c r="A37" s="485"/>
      <c r="B37" s="285"/>
      <c r="C37" s="288" t="s">
        <v>169</v>
      </c>
      <c r="D37" s="289" t="s">
        <v>170</v>
      </c>
      <c r="E37" s="289" t="s">
        <v>171</v>
      </c>
      <c r="F37" s="289" t="s">
        <v>170</v>
      </c>
      <c r="G37" s="289" t="s">
        <v>170</v>
      </c>
      <c r="H37" s="289"/>
      <c r="I37" s="288" t="s">
        <v>169</v>
      </c>
      <c r="J37" s="289" t="s">
        <v>174</v>
      </c>
      <c r="K37" s="289" t="s">
        <v>171</v>
      </c>
      <c r="L37" s="341"/>
      <c r="M37" s="341"/>
      <c r="N37" s="341" t="s">
        <v>190</v>
      </c>
      <c r="O37" s="289" t="s">
        <v>191</v>
      </c>
    </row>
    <row r="38" spans="1:27" s="101" customFormat="1" ht="12.75" hidden="1" customHeight="1" x14ac:dyDescent="0.25">
      <c r="A38" s="685" t="s">
        <v>178</v>
      </c>
      <c r="B38" s="312">
        <f t="shared" ref="B38:B44" si="11">B22+B6</f>
        <v>0</v>
      </c>
      <c r="C38" s="291" t="e">
        <f t="shared" ref="C38:C44" si="12">((B6*C6)+(B22*C22))/B38</f>
        <v>#DIV/0!</v>
      </c>
      <c r="D38" s="293" t="e">
        <f t="shared" ref="D38:D44" si="13">((D6*B6)+(D22*B22))/B38</f>
        <v>#DIV/0!</v>
      </c>
      <c r="E38" s="293">
        <f t="shared" ref="E38:E44" si="14">E6</f>
        <v>230</v>
      </c>
      <c r="F38" s="293" t="e">
        <f t="shared" ref="F38:F44" si="15">((F6*B6)+(F22*B22))/B38</f>
        <v>#DIV/0!</v>
      </c>
      <c r="G38" s="293" t="e">
        <f t="shared" ref="G38:G44" si="16">((G6*B6)+(G22*B22))/B38</f>
        <v>#DIV/0!</v>
      </c>
      <c r="H38" s="293"/>
      <c r="I38" s="291" t="e">
        <f t="shared" ref="I38:I44" si="17">((I6*B6)+(I22*B22))/B38</f>
        <v>#DIV/0!</v>
      </c>
      <c r="J38" s="293" t="e">
        <f t="shared" ref="J38:J44" si="18">((J6*B6)+(J22*B22))/B38</f>
        <v>#DIV/0!</v>
      </c>
      <c r="K38" s="293" t="e">
        <f t="shared" ref="K38:K44" si="19">((K6*B6)+(K22*B22))/B38</f>
        <v>#DIV/0!</v>
      </c>
      <c r="L38" s="447"/>
      <c r="M38" s="447"/>
      <c r="N38" s="683" t="e">
        <f>(J38+J39)/(K38+K39)</f>
        <v>#DIV/0!</v>
      </c>
      <c r="O38" s="687" t="e">
        <f>(J38+J39)/(G38+G39)</f>
        <v>#DIV/0!</v>
      </c>
      <c r="P38" s="487" t="e">
        <f t="shared" ref="P38:P47" si="20">G38*B38</f>
        <v>#DIV/0!</v>
      </c>
      <c r="Q38" s="222">
        <f>'[1]Trigo SP'!E62</f>
        <v>11.034707018867925</v>
      </c>
      <c r="R38" s="222">
        <f t="shared" ref="R38:R47" si="21">Q38*B38</f>
        <v>0</v>
      </c>
      <c r="S38" s="223">
        <f>R38*[1]Cotizaciones!$B$5</f>
        <v>0</v>
      </c>
      <c r="T38" s="681" t="s">
        <v>178</v>
      </c>
      <c r="AA38" s="249" t="e">
        <f t="shared" ref="AA38:AA47" si="22">(J38+G38)*B38</f>
        <v>#DIV/0!</v>
      </c>
    </row>
    <row r="39" spans="1:27" s="101" customFormat="1" ht="12.75" hidden="1" customHeight="1" x14ac:dyDescent="0.25">
      <c r="A39" s="686"/>
      <c r="B39" s="312">
        <f t="shared" si="11"/>
        <v>0</v>
      </c>
      <c r="C39" s="291" t="e">
        <f t="shared" si="12"/>
        <v>#DIV/0!</v>
      </c>
      <c r="D39" s="293" t="e">
        <f t="shared" si="13"/>
        <v>#DIV/0!</v>
      </c>
      <c r="E39" s="293">
        <f t="shared" si="14"/>
        <v>355</v>
      </c>
      <c r="F39" s="293" t="e">
        <f t="shared" si="15"/>
        <v>#DIV/0!</v>
      </c>
      <c r="G39" s="293" t="e">
        <f t="shared" si="16"/>
        <v>#DIV/0!</v>
      </c>
      <c r="H39" s="293"/>
      <c r="I39" s="291" t="e">
        <f t="shared" si="17"/>
        <v>#DIV/0!</v>
      </c>
      <c r="J39" s="293" t="e">
        <f t="shared" si="18"/>
        <v>#DIV/0!</v>
      </c>
      <c r="K39" s="293" t="e">
        <f t="shared" si="19"/>
        <v>#DIV/0!</v>
      </c>
      <c r="L39" s="450"/>
      <c r="M39" s="450"/>
      <c r="N39" s="684"/>
      <c r="O39" s="688"/>
      <c r="P39" s="487" t="e">
        <f t="shared" si="20"/>
        <v>#DIV/0!</v>
      </c>
      <c r="Q39" s="222" t="e">
        <f>'[1]Soja 2da. C'!E60</f>
        <v>#REF!</v>
      </c>
      <c r="R39" s="222" t="e">
        <f t="shared" si="21"/>
        <v>#REF!</v>
      </c>
      <c r="S39" s="223" t="e">
        <f>R39*[1]Cotizaciones!$B$5</f>
        <v>#REF!</v>
      </c>
      <c r="T39" s="682"/>
      <c r="AA39" s="249" t="e">
        <f t="shared" si="22"/>
        <v>#DIV/0!</v>
      </c>
    </row>
    <row r="40" spans="1:27" s="101" customFormat="1" ht="12.75" hidden="1" customHeight="1" x14ac:dyDescent="0.25">
      <c r="A40" s="689" t="s">
        <v>179</v>
      </c>
      <c r="B40" s="319">
        <f t="shared" si="11"/>
        <v>0</v>
      </c>
      <c r="C40" s="296" t="e">
        <f t="shared" si="12"/>
        <v>#DIV/0!</v>
      </c>
      <c r="D40" s="298" t="e">
        <f t="shared" si="13"/>
        <v>#DIV/0!</v>
      </c>
      <c r="E40" s="298">
        <f t="shared" si="14"/>
        <v>245</v>
      </c>
      <c r="F40" s="298" t="e">
        <f t="shared" si="15"/>
        <v>#DIV/0!</v>
      </c>
      <c r="G40" s="298" t="e">
        <f t="shared" si="16"/>
        <v>#DIV/0!</v>
      </c>
      <c r="H40" s="298"/>
      <c r="I40" s="296" t="e">
        <f t="shared" si="17"/>
        <v>#DIV/0!</v>
      </c>
      <c r="J40" s="298" t="e">
        <f t="shared" si="18"/>
        <v>#DIV/0!</v>
      </c>
      <c r="K40" s="298" t="e">
        <f t="shared" si="19"/>
        <v>#DIV/0!</v>
      </c>
      <c r="L40" s="475"/>
      <c r="M40" s="475"/>
      <c r="N40" s="691" t="e">
        <f>(J40+J41)/(K40+K41)</f>
        <v>#DIV/0!</v>
      </c>
      <c r="O40" s="687" t="e">
        <f>(J40+J41)/(G40+G41)</f>
        <v>#DIV/0!</v>
      </c>
      <c r="P40" s="487" t="e">
        <f t="shared" si="20"/>
        <v>#DIV/0!</v>
      </c>
      <c r="Q40" s="222">
        <f>'[1]Cebada SP'!E62</f>
        <v>131.13584905660377</v>
      </c>
      <c r="R40" s="222">
        <f t="shared" si="21"/>
        <v>0</v>
      </c>
      <c r="S40" s="223">
        <f>R40*[1]Cotizaciones!$B$5</f>
        <v>0</v>
      </c>
      <c r="T40" s="681" t="s">
        <v>179</v>
      </c>
      <c r="AA40" s="249" t="e">
        <f t="shared" si="22"/>
        <v>#DIV/0!</v>
      </c>
    </row>
    <row r="41" spans="1:27" s="101" customFormat="1" ht="12.75" hidden="1" customHeight="1" x14ac:dyDescent="0.25">
      <c r="A41" s="690"/>
      <c r="B41" s="319">
        <f t="shared" si="11"/>
        <v>0</v>
      </c>
      <c r="C41" s="296" t="e">
        <f t="shared" si="12"/>
        <v>#DIV/0!</v>
      </c>
      <c r="D41" s="298" t="e">
        <f t="shared" si="13"/>
        <v>#DIV/0!</v>
      </c>
      <c r="E41" s="298">
        <f t="shared" si="14"/>
        <v>355</v>
      </c>
      <c r="F41" s="298" t="e">
        <f t="shared" si="15"/>
        <v>#DIV/0!</v>
      </c>
      <c r="G41" s="298" t="e">
        <f t="shared" si="16"/>
        <v>#DIV/0!</v>
      </c>
      <c r="H41" s="298"/>
      <c r="I41" s="296" t="e">
        <f t="shared" si="17"/>
        <v>#DIV/0!</v>
      </c>
      <c r="J41" s="298" t="e">
        <f t="shared" si="18"/>
        <v>#DIV/0!</v>
      </c>
      <c r="K41" s="298" t="e">
        <f t="shared" si="19"/>
        <v>#DIV/0!</v>
      </c>
      <c r="L41" s="437"/>
      <c r="M41" s="437"/>
      <c r="N41" s="692"/>
      <c r="O41" s="688"/>
      <c r="P41" s="487" t="e">
        <f t="shared" si="20"/>
        <v>#DIV/0!</v>
      </c>
      <c r="Q41" s="222" t="e">
        <f>'[1]Soja 2da. C'!E60</f>
        <v>#REF!</v>
      </c>
      <c r="R41" s="222" t="e">
        <f t="shared" si="21"/>
        <v>#REF!</v>
      </c>
      <c r="S41" s="223" t="e">
        <f>R41*[1]Cotizaciones!$B$5</f>
        <v>#REF!</v>
      </c>
      <c r="T41" s="682"/>
      <c r="AA41" s="249" t="e">
        <f t="shared" si="22"/>
        <v>#DIV/0!</v>
      </c>
    </row>
    <row r="42" spans="1:27" s="101" customFormat="1" ht="12.75" hidden="1" customHeight="1" x14ac:dyDescent="0.25">
      <c r="A42" s="685" t="s">
        <v>181</v>
      </c>
      <c r="B42" s="312">
        <f t="shared" si="11"/>
        <v>0</v>
      </c>
      <c r="C42" s="291" t="e">
        <f t="shared" si="12"/>
        <v>#DIV/0!</v>
      </c>
      <c r="D42" s="293" t="e">
        <f t="shared" si="13"/>
        <v>#DIV/0!</v>
      </c>
      <c r="E42" s="293">
        <f t="shared" si="14"/>
        <v>200</v>
      </c>
      <c r="F42" s="293" t="e">
        <f t="shared" si="15"/>
        <v>#DIV/0!</v>
      </c>
      <c r="G42" s="293" t="e">
        <f t="shared" si="16"/>
        <v>#DIV/0!</v>
      </c>
      <c r="H42" s="293"/>
      <c r="I42" s="291" t="e">
        <f t="shared" si="17"/>
        <v>#DIV/0!</v>
      </c>
      <c r="J42" s="293" t="e">
        <f t="shared" si="18"/>
        <v>#DIV/0!</v>
      </c>
      <c r="K42" s="293" t="e">
        <f t="shared" si="19"/>
        <v>#DIV/0!</v>
      </c>
      <c r="L42" s="447"/>
      <c r="M42" s="447"/>
      <c r="N42" s="683" t="e">
        <f>(J42+J43)/(K42+K43)</f>
        <v>#DIV/0!</v>
      </c>
      <c r="O42" s="687" t="e">
        <f>(J42+J43)/(G42+G43)</f>
        <v>#DIV/0!</v>
      </c>
      <c r="P42" s="487" t="e">
        <f t="shared" si="20"/>
        <v>#DIV/0!</v>
      </c>
      <c r="Q42" s="222"/>
      <c r="R42" s="222">
        <f t="shared" si="21"/>
        <v>0</v>
      </c>
      <c r="S42" s="223">
        <f>R42*[1]Cotizaciones!$B$5</f>
        <v>0</v>
      </c>
      <c r="T42" s="681" t="s">
        <v>181</v>
      </c>
      <c r="AA42" s="249" t="e">
        <f t="shared" si="22"/>
        <v>#DIV/0!</v>
      </c>
    </row>
    <row r="43" spans="1:27" s="101" customFormat="1" ht="12.75" hidden="1" customHeight="1" x14ac:dyDescent="0.25">
      <c r="A43" s="686"/>
      <c r="B43" s="312">
        <f t="shared" si="11"/>
        <v>0</v>
      </c>
      <c r="C43" s="291" t="e">
        <f t="shared" si="12"/>
        <v>#DIV/0!</v>
      </c>
      <c r="D43" s="293" t="e">
        <f t="shared" si="13"/>
        <v>#DIV/0!</v>
      </c>
      <c r="E43" s="293">
        <f t="shared" si="14"/>
        <v>450</v>
      </c>
      <c r="F43" s="293" t="e">
        <f t="shared" si="15"/>
        <v>#DIV/0!</v>
      </c>
      <c r="G43" s="293" t="e">
        <f t="shared" si="16"/>
        <v>#DIV/0!</v>
      </c>
      <c r="H43" s="293"/>
      <c r="I43" s="291" t="e">
        <f t="shared" si="17"/>
        <v>#DIV/0!</v>
      </c>
      <c r="J43" s="293" t="e">
        <f t="shared" si="18"/>
        <v>#DIV/0!</v>
      </c>
      <c r="K43" s="293" t="e">
        <f t="shared" si="19"/>
        <v>#DIV/0!</v>
      </c>
      <c r="L43" s="450"/>
      <c r="M43" s="450"/>
      <c r="N43" s="684"/>
      <c r="O43" s="688"/>
      <c r="P43" s="487" t="e">
        <f t="shared" si="20"/>
        <v>#DIV/0!</v>
      </c>
      <c r="Q43" s="222" t="e">
        <f>'[1]Soja 2da. C'!E60</f>
        <v>#REF!</v>
      </c>
      <c r="R43" s="222" t="e">
        <f t="shared" si="21"/>
        <v>#REF!</v>
      </c>
      <c r="S43" s="223" t="e">
        <f>R43*[1]Cotizaciones!$B$5</f>
        <v>#REF!</v>
      </c>
      <c r="T43" s="682"/>
      <c r="AA43" s="249" t="e">
        <f t="shared" si="22"/>
        <v>#DIV/0!</v>
      </c>
    </row>
    <row r="44" spans="1:27" s="101" customFormat="1" hidden="1" x14ac:dyDescent="0.25">
      <c r="A44" s="490" t="s">
        <v>34</v>
      </c>
      <c r="B44" s="319">
        <f t="shared" si="11"/>
        <v>0</v>
      </c>
      <c r="C44" s="296" t="e">
        <f t="shared" si="12"/>
        <v>#DIV/0!</v>
      </c>
      <c r="D44" s="298" t="e">
        <f t="shared" si="13"/>
        <v>#DIV/0!</v>
      </c>
      <c r="E44" s="298">
        <f t="shared" si="14"/>
        <v>200</v>
      </c>
      <c r="F44" s="298" t="e">
        <f t="shared" si="15"/>
        <v>#DIV/0!</v>
      </c>
      <c r="G44" s="298" t="e">
        <f t="shared" si="16"/>
        <v>#DIV/0!</v>
      </c>
      <c r="H44" s="298"/>
      <c r="I44" s="296" t="e">
        <f t="shared" si="17"/>
        <v>#DIV/0!</v>
      </c>
      <c r="J44" s="298" t="e">
        <f t="shared" si="18"/>
        <v>#DIV/0!</v>
      </c>
      <c r="K44" s="298" t="e">
        <f t="shared" si="19"/>
        <v>#DIV/0!</v>
      </c>
      <c r="L44" s="298"/>
      <c r="M44" s="298"/>
      <c r="N44" s="299" t="e">
        <f>J44/K44</f>
        <v>#DIV/0!</v>
      </c>
      <c r="O44" s="299" t="e">
        <f>J44/G44</f>
        <v>#DIV/0!</v>
      </c>
      <c r="P44" s="487" t="e">
        <f t="shared" si="20"/>
        <v>#DIV/0!</v>
      </c>
      <c r="Q44" s="222"/>
      <c r="R44" s="222">
        <f t="shared" si="21"/>
        <v>0</v>
      </c>
      <c r="S44" s="223">
        <f>R44*[1]Cotizaciones!$B$5</f>
        <v>0</v>
      </c>
      <c r="T44" s="118" t="s">
        <v>34</v>
      </c>
      <c r="AA44" s="249" t="e">
        <f t="shared" si="22"/>
        <v>#DIV/0!</v>
      </c>
    </row>
    <row r="45" spans="1:27" s="101" customFormat="1" hidden="1" x14ac:dyDescent="0.25">
      <c r="A45" s="495" t="s">
        <v>31</v>
      </c>
      <c r="B45" s="312">
        <f>B29+B14</f>
        <v>0</v>
      </c>
      <c r="C45" s="291" t="e">
        <f>((B14*C14)+(B29*C29))/B45</f>
        <v>#DIV/0!</v>
      </c>
      <c r="D45" s="293" t="e">
        <f>((D14*B14)+(D29*B29))/B45</f>
        <v>#DIV/0!</v>
      </c>
      <c r="E45" s="293">
        <f>E14</f>
        <v>373.7591652740104</v>
      </c>
      <c r="F45" s="293" t="e">
        <f>((F14*B14)+(F29*B29))/B45</f>
        <v>#DIV/0!</v>
      </c>
      <c r="G45" s="293" t="e">
        <f>((G14*B14)+(G29*B29))/B45</f>
        <v>#DIV/0!</v>
      </c>
      <c r="H45" s="293"/>
      <c r="I45" s="291" t="e">
        <f>((I14*B14)+(I29*B29))/B45</f>
        <v>#DIV/0!</v>
      </c>
      <c r="J45" s="293" t="e">
        <f>((J14*B14)+(J29*B29))/B45</f>
        <v>#DIV/0!</v>
      </c>
      <c r="K45" s="293" t="e">
        <f>((K14*B14)+(K29*B29))/B45</f>
        <v>#DIV/0!</v>
      </c>
      <c r="L45" s="293"/>
      <c r="M45" s="293"/>
      <c r="N45" s="294" t="e">
        <f>J45/K45</f>
        <v>#DIV/0!</v>
      </c>
      <c r="O45" s="299" t="e">
        <f>J45/G45</f>
        <v>#DIV/0!</v>
      </c>
      <c r="P45" s="487" t="e">
        <f t="shared" si="20"/>
        <v>#DIV/0!</v>
      </c>
      <c r="Q45" s="222"/>
      <c r="R45" s="222">
        <f t="shared" si="21"/>
        <v>0</v>
      </c>
      <c r="S45" s="223"/>
      <c r="T45" s="118"/>
      <c r="AA45" s="249" t="e">
        <f t="shared" si="22"/>
        <v>#DIV/0!</v>
      </c>
    </row>
    <row r="46" spans="1:27" s="101" customFormat="1" hidden="1" x14ac:dyDescent="0.25">
      <c r="A46" s="490" t="s">
        <v>182</v>
      </c>
      <c r="B46" s="319">
        <f>B30+B13</f>
        <v>0</v>
      </c>
      <c r="C46" s="296" t="e">
        <f>((B13*C13)+(B30*C30))/B46</f>
        <v>#DIV/0!</v>
      </c>
      <c r="D46" s="298" t="e">
        <f>((D13*B13)+(D30*B30))/B46</f>
        <v>#DIV/0!</v>
      </c>
      <c r="E46" s="298">
        <f>E30</f>
        <v>380.21916527401038</v>
      </c>
      <c r="F46" s="298" t="e">
        <f>E46*C46</f>
        <v>#DIV/0!</v>
      </c>
      <c r="G46" s="298" t="e">
        <f>((G13*B13)+(G30*B30))/B46</f>
        <v>#DIV/0!</v>
      </c>
      <c r="H46" s="298"/>
      <c r="I46" s="296" t="e">
        <f>((I13*B13)+(I30*B30))/B46</f>
        <v>#DIV/0!</v>
      </c>
      <c r="J46" s="298" t="e">
        <f>((J13*B13)+(B30*J30))/B46</f>
        <v>#DIV/0!</v>
      </c>
      <c r="K46" s="298" t="e">
        <f>((K13*B13)+(K30*B30))/B46</f>
        <v>#DIV/0!</v>
      </c>
      <c r="L46" s="298"/>
      <c r="M46" s="298"/>
      <c r="N46" s="299" t="e">
        <f>J46/K46</f>
        <v>#DIV/0!</v>
      </c>
      <c r="O46" s="299" t="e">
        <f>J46/G46</f>
        <v>#DIV/0!</v>
      </c>
      <c r="P46" s="487" t="e">
        <f t="shared" si="20"/>
        <v>#DIV/0!</v>
      </c>
      <c r="Q46" s="222"/>
      <c r="R46" s="222">
        <f t="shared" si="21"/>
        <v>0</v>
      </c>
      <c r="S46" s="223">
        <f>R46*[1]Cotizaciones!$B$5</f>
        <v>0</v>
      </c>
      <c r="T46" s="118" t="s">
        <v>31</v>
      </c>
      <c r="AA46" s="249" t="e">
        <f t="shared" si="22"/>
        <v>#DIV/0!</v>
      </c>
    </row>
    <row r="47" spans="1:27" s="101" customFormat="1" hidden="1" x14ac:dyDescent="0.25">
      <c r="A47" s="495" t="s">
        <v>37</v>
      </c>
      <c r="B47" s="312">
        <f>B31+B15</f>
        <v>0</v>
      </c>
      <c r="C47" s="291" t="e">
        <f>((B15*C15)+(B31*C31))/B47</f>
        <v>#DIV/0!</v>
      </c>
      <c r="D47" s="293" t="e">
        <f>((D15*B15)+(D31*B31))/B47</f>
        <v>#DIV/0!</v>
      </c>
      <c r="E47" s="293">
        <f>E15</f>
        <v>355</v>
      </c>
      <c r="F47" s="293" t="e">
        <f>((F15*B15)+(F31*B31))/B47</f>
        <v>#DIV/0!</v>
      </c>
      <c r="G47" s="293" t="e">
        <f>((G15*B15)+(G31*B31))/B47</f>
        <v>#DIV/0!</v>
      </c>
      <c r="H47" s="293"/>
      <c r="I47" s="291" t="e">
        <f>((I14*B14)+(I30*B30))/B47</f>
        <v>#DIV/0!</v>
      </c>
      <c r="J47" s="293" t="e">
        <f>((J15*B15)+(J31*B31))/B47</f>
        <v>#DIV/0!</v>
      </c>
      <c r="K47" s="293" t="e">
        <f>((K15*B15)+(K31*B31))/B47</f>
        <v>#DIV/0!</v>
      </c>
      <c r="L47" s="293"/>
      <c r="M47" s="293"/>
      <c r="N47" s="294" t="e">
        <f>J47/K47</f>
        <v>#DIV/0!</v>
      </c>
      <c r="O47" s="299" t="e">
        <f>J47/G47</f>
        <v>#DIV/0!</v>
      </c>
      <c r="P47" s="487" t="e">
        <f t="shared" si="20"/>
        <v>#DIV/0!</v>
      </c>
      <c r="Q47" s="222"/>
      <c r="R47" s="222">
        <f t="shared" si="21"/>
        <v>0</v>
      </c>
      <c r="S47" s="223">
        <f>R47*[1]Cotizaciones!$B$5</f>
        <v>0</v>
      </c>
      <c r="T47" s="118" t="s">
        <v>37</v>
      </c>
      <c r="AA47" s="249" t="e">
        <f t="shared" si="22"/>
        <v>#DIV/0!</v>
      </c>
    </row>
    <row r="48" spans="1:27" s="101" customFormat="1" ht="12" hidden="1" x14ac:dyDescent="0.25">
      <c r="A48" s="498"/>
      <c r="B48" s="301">
        <f>SUM(B38:B47)-B39-B41-B43</f>
        <v>0</v>
      </c>
      <c r="C48" s="302"/>
      <c r="D48" s="303" t="e">
        <f>((D38*B38)+(D39*B39)+(D40*B40)+(D41*B41)+(D42*B42)+(D43*B43)+(D44*B44)+(D45*B45)+(B46*D46)+(D47*B47))/B48</f>
        <v>#DIV/0!</v>
      </c>
      <c r="E48" s="303" t="e">
        <f>((E6*B6)+(E7*B7)+(E8*B8)+(E9*B9)+(E10*B10)+(E11*B11)+(E12*B12)+(E13*B13)+(E14*B14)+(E15*B15))/(B16+B7+B9+B11)</f>
        <v>#DIV/0!</v>
      </c>
      <c r="F48" s="303" t="e">
        <f>((F38*B38)+(F39*B39)+(F40*B40)+(F41*B41)+(F42*B42)+(F43*B43)+(F44*B44)+(F45*B45)+(B46*F46)+(F47*B47))/(B48+B39+B41+B43)</f>
        <v>#DIV/0!</v>
      </c>
      <c r="G48" s="303" t="e">
        <f>((B38*G38)+(G39*B39)+(B40*G40)+(B41*G41)+(G42*B42)+(B43*G43)+(G44*B44)+(B45*G45)+(G46*B46)+(B47*G47))/(B48+B41+B43+B39)</f>
        <v>#DIV/0!</v>
      </c>
      <c r="H48" s="303"/>
      <c r="I48" s="302"/>
      <c r="J48" s="303" t="e">
        <f>((J38*B38)+(J39*B39)+(J40*B40)+(J41*B41)+(J42*B42)+(J43*B43)+(J44*B44)+(J45*B45)+(B46*J46)+(J47*B47))/(B48+B39+B41+B43)</f>
        <v>#DIV/0!</v>
      </c>
      <c r="K48" s="303" t="e">
        <f>((K38*B38)+(K39*B39)+(K40*B40)+(K41*B41)+(K42*B42)+(K43*B43)+(K44*B44)+(K45*B45)+(K46*B46)+(K47*B47))/(B48+B39+B41+B43)</f>
        <v>#DIV/0!</v>
      </c>
      <c r="L48" s="303"/>
      <c r="M48" s="303"/>
      <c r="N48" s="304" t="s">
        <v>192</v>
      </c>
      <c r="O48" s="304" t="e">
        <f>J48/K48</f>
        <v>#DIV/0!</v>
      </c>
      <c r="P48" s="249" t="e">
        <f t="shared" ref="P48:AA48" si="23">SUM(P38:P47)</f>
        <v>#DIV/0!</v>
      </c>
      <c r="Q48" s="249" t="e">
        <f t="shared" si="23"/>
        <v>#REF!</v>
      </c>
      <c r="R48" s="249" t="e">
        <f t="shared" si="23"/>
        <v>#REF!</v>
      </c>
      <c r="S48" s="249" t="e">
        <f t="shared" si="23"/>
        <v>#REF!</v>
      </c>
      <c r="T48" s="249">
        <f t="shared" si="23"/>
        <v>0</v>
      </c>
      <c r="U48" s="249">
        <f t="shared" si="23"/>
        <v>0</v>
      </c>
      <c r="V48" s="249">
        <f t="shared" si="23"/>
        <v>0</v>
      </c>
      <c r="W48" s="249">
        <f t="shared" si="23"/>
        <v>0</v>
      </c>
      <c r="X48" s="249">
        <f t="shared" si="23"/>
        <v>0</v>
      </c>
      <c r="Y48" s="249">
        <f t="shared" si="23"/>
        <v>0</v>
      </c>
      <c r="Z48" s="249">
        <f t="shared" si="23"/>
        <v>0</v>
      </c>
      <c r="AA48" s="249" t="e">
        <f t="shared" si="23"/>
        <v>#DIV/0!</v>
      </c>
    </row>
    <row r="49" spans="1:27" s="101" customFormat="1" ht="12" hidden="1" x14ac:dyDescent="0.25">
      <c r="A49" s="498"/>
      <c r="B49" s="301"/>
      <c r="C49" s="302"/>
      <c r="D49" s="303" t="e">
        <f>B48*D48</f>
        <v>#DIV/0!</v>
      </c>
      <c r="E49" s="303"/>
      <c r="F49" s="303" t="e">
        <f>F48*(B48+B39+B41+B43)</f>
        <v>#DIV/0!</v>
      </c>
      <c r="G49" s="303" t="e">
        <f>G48*(B48+B43+B41+B39)</f>
        <v>#DIV/0!</v>
      </c>
      <c r="H49" s="303"/>
      <c r="I49" s="302"/>
      <c r="J49" s="303" t="e">
        <f>J48*(B48+B43+B41+B39)</f>
        <v>#DIV/0!</v>
      </c>
      <c r="K49" s="303" t="e">
        <f>+K48*(B48+B43+B41+B39)</f>
        <v>#DIV/0!</v>
      </c>
      <c r="L49" s="303"/>
      <c r="M49" s="303"/>
      <c r="N49" s="304" t="s">
        <v>193</v>
      </c>
      <c r="O49" s="304" t="e">
        <f>J48/G48</f>
        <v>#DIV/0!</v>
      </c>
      <c r="P49" s="249"/>
    </row>
    <row r="50" spans="1:27" s="101" customFormat="1" ht="12" hidden="1" x14ac:dyDescent="0.25">
      <c r="A50" s="492"/>
      <c r="B50" s="305"/>
      <c r="C50" s="493"/>
      <c r="D50" s="320"/>
      <c r="E50" s="305"/>
      <c r="F50" s="306"/>
      <c r="G50" s="306"/>
      <c r="H50" s="306"/>
      <c r="I50" s="493"/>
      <c r="J50" s="306"/>
      <c r="K50" s="306"/>
      <c r="L50" s="306"/>
      <c r="M50" s="306"/>
      <c r="N50" s="305"/>
      <c r="O50" s="305"/>
    </row>
    <row r="51" spans="1:27" s="101" customFormat="1" ht="12" hidden="1" x14ac:dyDescent="0.25">
      <c r="A51" s="492"/>
      <c r="B51" s="305"/>
      <c r="C51" s="493"/>
      <c r="D51" s="305"/>
      <c r="E51" s="305"/>
      <c r="F51" s="305"/>
      <c r="G51" s="305"/>
      <c r="H51" s="305"/>
      <c r="I51" s="493"/>
      <c r="J51" s="305"/>
      <c r="K51" s="306"/>
      <c r="L51" s="306"/>
      <c r="M51" s="306"/>
      <c r="N51" s="305"/>
      <c r="O51" s="305"/>
    </row>
    <row r="52" spans="1:27" s="101" customFormat="1" ht="12" hidden="1" x14ac:dyDescent="0.25">
      <c r="A52" s="492"/>
      <c r="B52" s="305"/>
      <c r="C52" s="493"/>
      <c r="D52" s="305"/>
      <c r="E52" s="305"/>
      <c r="F52" s="305"/>
      <c r="G52" s="305"/>
      <c r="H52" s="305"/>
      <c r="I52" s="493"/>
      <c r="J52" s="305"/>
      <c r="K52" s="305"/>
      <c r="L52" s="305"/>
      <c r="M52" s="305"/>
      <c r="N52" s="305"/>
      <c r="O52" s="305"/>
    </row>
    <row r="53" spans="1:27" s="101" customFormat="1" ht="12" hidden="1" x14ac:dyDescent="0.25">
      <c r="A53" s="492"/>
      <c r="B53" s="316"/>
      <c r="C53" s="493"/>
      <c r="D53" s="305"/>
      <c r="E53" s="305"/>
      <c r="F53" s="305"/>
      <c r="G53" s="305"/>
      <c r="H53" s="305"/>
      <c r="I53" s="493"/>
      <c r="J53" s="305"/>
      <c r="K53" s="305"/>
      <c r="L53" s="305"/>
      <c r="M53" s="305"/>
      <c r="N53" s="305"/>
      <c r="O53" s="305"/>
    </row>
    <row r="54" spans="1:27" s="101" customFormat="1" ht="12" hidden="1" x14ac:dyDescent="0.25">
      <c r="A54" s="492"/>
      <c r="B54" s="316"/>
      <c r="C54" s="493"/>
      <c r="D54" s="305"/>
      <c r="E54" s="305"/>
      <c r="F54" s="305"/>
      <c r="G54" s="305"/>
      <c r="H54" s="305"/>
      <c r="I54" s="493"/>
      <c r="J54" s="305"/>
      <c r="K54" s="305"/>
      <c r="L54" s="305"/>
      <c r="M54" s="305"/>
      <c r="N54" s="305"/>
      <c r="O54" s="305"/>
    </row>
    <row r="55" spans="1:27" s="101" customFormat="1" ht="12" hidden="1" x14ac:dyDescent="0.25">
      <c r="A55" s="492"/>
      <c r="B55" s="316"/>
      <c r="C55" s="493"/>
      <c r="D55" s="305"/>
      <c r="E55" s="305"/>
      <c r="F55" s="305"/>
      <c r="G55" s="305"/>
      <c r="H55" s="305"/>
      <c r="I55" s="493"/>
      <c r="J55" s="305"/>
      <c r="K55" s="305"/>
      <c r="L55" s="305"/>
      <c r="M55" s="305"/>
      <c r="N55" s="305"/>
      <c r="O55" s="305"/>
    </row>
    <row r="56" spans="1:27" s="101" customFormat="1" ht="12" x14ac:dyDescent="0.25">
      <c r="A56" s="499" t="s">
        <v>195</v>
      </c>
      <c r="B56" s="478">
        <f>+(B57/10)*12</f>
        <v>426</v>
      </c>
      <c r="C56" s="321"/>
      <c r="D56" s="517" t="e">
        <f>+D17/G17</f>
        <v>#DIV/0!</v>
      </c>
      <c r="E56" s="305"/>
      <c r="F56" s="305"/>
      <c r="G56" s="399"/>
      <c r="H56" s="399"/>
      <c r="I56" s="308"/>
      <c r="J56" s="308"/>
      <c r="K56" s="308"/>
      <c r="L56" s="308"/>
      <c r="M56" s="308"/>
      <c r="N56" s="308"/>
      <c r="O56" s="305"/>
    </row>
    <row r="57" spans="1:27" x14ac:dyDescent="0.25">
      <c r="A57" s="590" t="s">
        <v>196</v>
      </c>
      <c r="B57" s="596">
        <f>+Cotizaciones!B14</f>
        <v>355</v>
      </c>
      <c r="C57" s="361">
        <f>+B56</f>
        <v>426</v>
      </c>
      <c r="E57" s="283">
        <f>190/210</f>
        <v>0.90476190476190477</v>
      </c>
      <c r="G57" s="363" t="s">
        <v>197</v>
      </c>
      <c r="H57" s="363"/>
      <c r="I57" s="298" t="s">
        <v>198</v>
      </c>
      <c r="J57" s="283" t="s">
        <v>197</v>
      </c>
      <c r="K57" s="298" t="s">
        <v>199</v>
      </c>
      <c r="L57" s="298"/>
      <c r="M57" s="298"/>
      <c r="N57" s="298"/>
    </row>
    <row r="58" spans="1:27" x14ac:dyDescent="0.25">
      <c r="A58" s="495" t="s">
        <v>200</v>
      </c>
      <c r="B58" s="300"/>
      <c r="C58" s="293">
        <f>C57*0.8</f>
        <v>340.8</v>
      </c>
      <c r="G58" s="363">
        <f>+I58</f>
        <v>0</v>
      </c>
      <c r="H58" s="363"/>
      <c r="I58" s="298">
        <f>+J58</f>
        <v>0</v>
      </c>
      <c r="J58" s="298">
        <f>+K58/3</f>
        <v>0</v>
      </c>
      <c r="K58" s="298">
        <f>+B16*B56</f>
        <v>0</v>
      </c>
      <c r="L58" s="298"/>
      <c r="M58" s="298"/>
      <c r="N58" s="298"/>
      <c r="O58" s="329"/>
    </row>
    <row r="59" spans="1:27" ht="13.8" thickBot="1" x14ac:dyDescent="0.3">
      <c r="A59" s="500" t="s">
        <v>201</v>
      </c>
      <c r="B59" s="501"/>
      <c r="C59" s="502">
        <f>C57-C58</f>
        <v>85.199999999999989</v>
      </c>
      <c r="D59" s="503"/>
      <c r="E59" s="503"/>
      <c r="F59" s="503"/>
      <c r="G59" s="503"/>
      <c r="H59" s="503"/>
      <c r="I59" s="504"/>
      <c r="J59" s="504"/>
      <c r="K59" s="504"/>
      <c r="L59" s="504"/>
      <c r="M59" s="504"/>
      <c r="N59" s="441"/>
      <c r="O59" s="505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</row>
    <row r="60" spans="1:27" ht="13.8" thickBot="1" x14ac:dyDescent="0.3">
      <c r="A60" s="616" t="s">
        <v>513</v>
      </c>
      <c r="B60" s="617" t="s">
        <v>514</v>
      </c>
      <c r="C60" s="623" t="s">
        <v>295</v>
      </c>
      <c r="D60" s="617" t="s">
        <v>515</v>
      </c>
      <c r="E60" s="617" t="s">
        <v>514</v>
      </c>
      <c r="F60" s="618" t="s">
        <v>295</v>
      </c>
    </row>
    <row r="61" spans="1:27" ht="21" x14ac:dyDescent="0.4">
      <c r="A61" s="494" t="s">
        <v>510</v>
      </c>
      <c r="B61" s="283">
        <f>+B8</f>
        <v>0</v>
      </c>
      <c r="C61" s="619" t="e">
        <f>+B61/B16</f>
        <v>#DIV/0!</v>
      </c>
      <c r="D61" s="283" t="s">
        <v>512</v>
      </c>
      <c r="E61" s="283">
        <f>+B8</f>
        <v>0</v>
      </c>
      <c r="F61" s="620" t="e">
        <f>+E61/B16</f>
        <v>#DIV/0!</v>
      </c>
      <c r="I61" s="624"/>
      <c r="J61" s="626"/>
      <c r="K61" s="626"/>
      <c r="L61" s="626"/>
      <c r="M61" s="626"/>
      <c r="N61" s="626"/>
      <c r="O61" s="626"/>
    </row>
    <row r="62" spans="1:27" ht="21" x14ac:dyDescent="0.4">
      <c r="A62" s="494" t="s">
        <v>511</v>
      </c>
      <c r="B62" s="283">
        <f>+B12+B13</f>
        <v>0</v>
      </c>
      <c r="C62" s="619" t="e">
        <f>+B62/B16</f>
        <v>#DIV/0!</v>
      </c>
      <c r="D62" s="283" t="s">
        <v>121</v>
      </c>
      <c r="E62" s="283">
        <f>+B12</f>
        <v>0</v>
      </c>
      <c r="F62" s="620" t="e">
        <f>+E62/B16</f>
        <v>#DIV/0!</v>
      </c>
      <c r="I62" s="625"/>
      <c r="J62" s="626"/>
      <c r="K62" s="626"/>
      <c r="L62" s="3"/>
      <c r="M62" s="649" t="s">
        <v>203</v>
      </c>
      <c r="N62" s="654" t="s">
        <v>299</v>
      </c>
      <c r="O62" s="3" t="s">
        <v>370</v>
      </c>
    </row>
    <row r="63" spans="1:27" ht="14.4" thickBot="1" x14ac:dyDescent="0.35">
      <c r="A63" s="604"/>
      <c r="B63" s="503"/>
      <c r="C63" s="621"/>
      <c r="D63" s="503" t="s">
        <v>31</v>
      </c>
      <c r="E63" s="503">
        <f>+B13</f>
        <v>0</v>
      </c>
      <c r="F63" s="622" t="e">
        <f>+E63/B16</f>
        <v>#DIV/0!</v>
      </c>
      <c r="J63" s="626"/>
      <c r="K63" s="626"/>
      <c r="L63" s="3" t="s">
        <v>204</v>
      </c>
      <c r="M63" s="650"/>
      <c r="N63" s="655">
        <f>+'Trigo SP'!L63</f>
        <v>0</v>
      </c>
      <c r="O63" s="535">
        <f>+M63+N63</f>
        <v>0</v>
      </c>
    </row>
    <row r="64" spans="1:27" ht="13.8" x14ac:dyDescent="0.3">
      <c r="L64" s="3" t="s">
        <v>205</v>
      </c>
      <c r="M64" s="651">
        <f>+'Trigo SP'!J64</f>
        <v>0</v>
      </c>
      <c r="N64" s="655">
        <f>+'Soja 2da. T'!J73+'Maiz SP'!K78+'Girasol O SP'!K81</f>
        <v>0</v>
      </c>
      <c r="O64" s="535">
        <f t="shared" ref="O64:O69" si="24">+M64+N64</f>
        <v>0</v>
      </c>
    </row>
    <row r="65" spans="12:15" ht="13.8" x14ac:dyDescent="0.3">
      <c r="L65" s="3" t="s">
        <v>206</v>
      </c>
      <c r="M65" s="652">
        <f>+'Trigo SP'!J65+'Soja 2da. T'!H74+'Maiz SP'!I79+'Girasol O SP'!I82</f>
        <v>0</v>
      </c>
      <c r="N65" s="656"/>
      <c r="O65" s="535">
        <f t="shared" si="24"/>
        <v>0</v>
      </c>
    </row>
    <row r="66" spans="12:15" ht="13.8" x14ac:dyDescent="0.3">
      <c r="L66" s="3" t="s">
        <v>207</v>
      </c>
      <c r="M66" s="651">
        <f>+'Trigo SP'!J66+'Soja 2da. T'!H75+'Maiz SP'!I80+'Girasol O SP'!I83</f>
        <v>0</v>
      </c>
      <c r="N66" s="657"/>
      <c r="O66" s="535">
        <f t="shared" si="24"/>
        <v>0</v>
      </c>
    </row>
    <row r="67" spans="12:15" ht="13.8" x14ac:dyDescent="0.3">
      <c r="L67" s="3" t="s">
        <v>140</v>
      </c>
      <c r="M67" s="651">
        <f>+'Trigo SP'!J67+'Maiz SP'!I81+'Girasol O SP'!I84</f>
        <v>0</v>
      </c>
      <c r="N67" s="657"/>
      <c r="O67" s="535">
        <f t="shared" si="24"/>
        <v>0</v>
      </c>
    </row>
    <row r="68" spans="12:15" ht="13.8" x14ac:dyDescent="0.3">
      <c r="L68" s="3" t="s">
        <v>118</v>
      </c>
      <c r="M68" s="650"/>
      <c r="N68" s="658">
        <f>+'Trigo SP'!L68+'Soja 2da. T'!J77+'Maiz SP'!K82+'Girasol O SP'!K85</f>
        <v>0</v>
      </c>
      <c r="O68" s="535">
        <f t="shared" si="24"/>
        <v>0</v>
      </c>
    </row>
    <row r="69" spans="12:15" ht="13.8" x14ac:dyDescent="0.3">
      <c r="L69" s="3" t="s">
        <v>199</v>
      </c>
      <c r="M69" s="651">
        <f>SUM(M63:M68)</f>
        <v>0</v>
      </c>
      <c r="N69" s="658">
        <f>SUM(N63:N68)</f>
        <v>0</v>
      </c>
      <c r="O69" s="535">
        <f t="shared" si="24"/>
        <v>0</v>
      </c>
    </row>
    <row r="70" spans="12:15" ht="13.8" x14ac:dyDescent="0.3">
      <c r="L70" s="3"/>
      <c r="M70" s="653" t="e">
        <f>+M69/O69</f>
        <v>#DIV/0!</v>
      </c>
      <c r="N70" s="659" t="e">
        <f>+N69/O69</f>
        <v>#DIV/0!</v>
      </c>
      <c r="O70" s="582"/>
    </row>
    <row r="71" spans="12:15" ht="13.8" x14ac:dyDescent="0.3">
      <c r="O71" s="582"/>
    </row>
    <row r="72" spans="12:15" ht="13.8" x14ac:dyDescent="0.3">
      <c r="O72" s="92"/>
    </row>
  </sheetData>
  <mergeCells count="38">
    <mergeCell ref="O26:O27"/>
    <mergeCell ref="B3:O3"/>
    <mergeCell ref="B19:O19"/>
    <mergeCell ref="AC3:AD3"/>
    <mergeCell ref="AD6:AD7"/>
    <mergeCell ref="AD8:AD9"/>
    <mergeCell ref="T22:T23"/>
    <mergeCell ref="T24:T25"/>
    <mergeCell ref="AC8:AC9"/>
    <mergeCell ref="AC6:AC7"/>
    <mergeCell ref="T10:T11"/>
    <mergeCell ref="T8:T9"/>
    <mergeCell ref="A1:AD1"/>
    <mergeCell ref="B35:O35"/>
    <mergeCell ref="A22:A23"/>
    <mergeCell ref="O38:O39"/>
    <mergeCell ref="O22:O23"/>
    <mergeCell ref="A6:A7"/>
    <mergeCell ref="A38:A39"/>
    <mergeCell ref="A24:A25"/>
    <mergeCell ref="A8:A9"/>
    <mergeCell ref="A26:A27"/>
    <mergeCell ref="N24:N25"/>
    <mergeCell ref="Q3:S3"/>
    <mergeCell ref="Q4:S4"/>
    <mergeCell ref="T6:T7"/>
    <mergeCell ref="T26:T27"/>
    <mergeCell ref="O24:O25"/>
    <mergeCell ref="A42:A43"/>
    <mergeCell ref="O42:O43"/>
    <mergeCell ref="A40:A41"/>
    <mergeCell ref="O40:O41"/>
    <mergeCell ref="N40:N41"/>
    <mergeCell ref="T40:T41"/>
    <mergeCell ref="T42:T43"/>
    <mergeCell ref="T38:T39"/>
    <mergeCell ref="N42:N43"/>
    <mergeCell ref="N38:N39"/>
  </mergeCells>
  <pageMargins left="0.25" right="0.25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8"/>
  <sheetViews>
    <sheetView showGridLines="0" zoomScaleNormal="100" workbookViewId="0">
      <pane xSplit="1" topLeftCell="B1" activePane="topRight" state="frozen"/>
      <selection activeCell="C58" sqref="C58"/>
      <selection pane="topRight" activeCell="C58" sqref="C58"/>
    </sheetView>
  </sheetViews>
  <sheetFormatPr baseColWidth="10" defaultColWidth="9.109375" defaultRowHeight="13.2" outlineLevelRow="2" x14ac:dyDescent="0.25"/>
  <cols>
    <col min="1" max="1" width="14.33203125" customWidth="1"/>
    <col min="2" max="8" width="14.109375" bestFit="1" customWidth="1"/>
    <col min="9" max="11" width="15.109375" bestFit="1" customWidth="1"/>
    <col min="12" max="12" width="14.44140625" bestFit="1" customWidth="1"/>
    <col min="13" max="14" width="13.44140625" bestFit="1" customWidth="1"/>
    <col min="15" max="15" width="14.44140625" bestFit="1" customWidth="1"/>
    <col min="16" max="17" width="13.44140625" bestFit="1" customWidth="1"/>
    <col min="18" max="18" width="13" bestFit="1" customWidth="1"/>
    <col min="19" max="19" width="13.44140625" bestFit="1" customWidth="1"/>
    <col min="20" max="256" width="11.44140625" customWidth="1"/>
  </cols>
  <sheetData>
    <row r="1" spans="1:17" s="262" customFormat="1" ht="16.95" customHeight="1" x14ac:dyDescent="0.3">
      <c r="A1" s="724" t="s">
        <v>209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</row>
    <row r="2" spans="1:17" s="263" customFormat="1" ht="16.95" customHeight="1" thickBot="1" x14ac:dyDescent="0.4">
      <c r="A2" s="723"/>
      <c r="B2" s="723"/>
    </row>
    <row r="3" spans="1:17" s="263" customFormat="1" ht="14.4" thickBot="1" x14ac:dyDescent="0.35">
      <c r="A3" s="355"/>
      <c r="B3" s="280">
        <v>42856</v>
      </c>
      <c r="C3" s="280">
        <v>42887</v>
      </c>
      <c r="D3" s="280">
        <v>42917</v>
      </c>
      <c r="E3" s="280">
        <v>42948</v>
      </c>
      <c r="F3" s="280">
        <v>42979</v>
      </c>
      <c r="G3" s="280">
        <v>43009</v>
      </c>
      <c r="H3" s="280">
        <v>43040</v>
      </c>
      <c r="I3" s="280">
        <v>43070</v>
      </c>
      <c r="J3" s="280">
        <v>43101</v>
      </c>
      <c r="K3" s="280">
        <v>43132</v>
      </c>
      <c r="L3" s="280">
        <v>43160</v>
      </c>
      <c r="M3" s="280">
        <v>43191</v>
      </c>
      <c r="N3" s="280">
        <v>43221</v>
      </c>
      <c r="O3" s="280">
        <v>43252</v>
      </c>
      <c r="P3" s="280" t="s">
        <v>210</v>
      </c>
    </row>
    <row r="4" spans="1:17" s="263" customFormat="1" ht="12" customHeight="1" x14ac:dyDescent="0.3">
      <c r="A4" s="356" t="s">
        <v>211</v>
      </c>
      <c r="B4" s="349">
        <f>+B36-B38+B90-B92+B118-B120+B132-B134</f>
        <v>0</v>
      </c>
      <c r="C4" s="349">
        <f t="shared" ref="C4:I4" ca="1" si="0">+C36-C38+C90-C92+C118-C120+C132-C134</f>
        <v>0</v>
      </c>
      <c r="D4" s="349">
        <f t="shared" ca="1" si="0"/>
        <v>0</v>
      </c>
      <c r="E4" s="349">
        <f t="shared" ca="1" si="0"/>
        <v>0</v>
      </c>
      <c r="F4" s="349">
        <f t="shared" ca="1" si="0"/>
        <v>0</v>
      </c>
      <c r="G4" s="349">
        <f t="shared" ca="1" si="0"/>
        <v>0</v>
      </c>
      <c r="H4" s="349">
        <f t="shared" ca="1" si="0"/>
        <v>0</v>
      </c>
      <c r="I4" s="349">
        <f t="shared" ca="1" si="0"/>
        <v>0</v>
      </c>
      <c r="J4" s="349">
        <f t="shared" ref="J4:O4" ca="1" si="1">+J36-J38+J90-J92+J118-J120+J132-J134+J50-J52</f>
        <v>0</v>
      </c>
      <c r="K4" s="349">
        <f t="shared" ca="1" si="1"/>
        <v>0</v>
      </c>
      <c r="L4" s="349">
        <f t="shared" ca="1" si="1"/>
        <v>0</v>
      </c>
      <c r="M4" s="349">
        <f t="shared" si="1"/>
        <v>0</v>
      </c>
      <c r="N4" s="349">
        <f t="shared" si="1"/>
        <v>0</v>
      </c>
      <c r="O4" s="349">
        <f t="shared" si="1"/>
        <v>0</v>
      </c>
      <c r="P4" s="350">
        <f ca="1">SUM(B4:O4)</f>
        <v>0</v>
      </c>
      <c r="Q4" s="263" t="s">
        <v>212</v>
      </c>
    </row>
    <row r="5" spans="1:17" s="263" customFormat="1" ht="13.8" x14ac:dyDescent="0.3">
      <c r="A5" s="356" t="s">
        <v>213</v>
      </c>
      <c r="B5" s="351">
        <f>B4</f>
        <v>0</v>
      </c>
      <c r="C5" s="351">
        <f ca="1">B5+C4</f>
        <v>0</v>
      </c>
      <c r="D5" s="351">
        <f ca="1">C5+D4</f>
        <v>0</v>
      </c>
      <c r="E5" s="351">
        <f t="shared" ref="E5:O5" ca="1" si="2">D5+E4</f>
        <v>0</v>
      </c>
      <c r="F5" s="351">
        <f t="shared" ca="1" si="2"/>
        <v>0</v>
      </c>
      <c r="G5" s="351">
        <f t="shared" ca="1" si="2"/>
        <v>0</v>
      </c>
      <c r="H5" s="351">
        <f t="shared" ca="1" si="2"/>
        <v>0</v>
      </c>
      <c r="I5" s="351">
        <f t="shared" ca="1" si="2"/>
        <v>0</v>
      </c>
      <c r="J5" s="351">
        <f ca="1">I5+J4</f>
        <v>0</v>
      </c>
      <c r="K5" s="351">
        <f t="shared" ca="1" si="2"/>
        <v>0</v>
      </c>
      <c r="L5" s="351">
        <f t="shared" ca="1" si="2"/>
        <v>0</v>
      </c>
      <c r="M5" s="351">
        <f t="shared" ca="1" si="2"/>
        <v>0</v>
      </c>
      <c r="N5" s="351">
        <f t="shared" ca="1" si="2"/>
        <v>0</v>
      </c>
      <c r="O5" s="351">
        <f t="shared" ca="1" si="2"/>
        <v>0</v>
      </c>
      <c r="P5" s="352"/>
    </row>
    <row r="6" spans="1:17" s="263" customFormat="1" ht="13.8" x14ac:dyDescent="0.3">
      <c r="A6" s="305"/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05"/>
    </row>
    <row r="7" spans="1:17" s="249" customFormat="1" ht="12" x14ac:dyDescent="0.25">
      <c r="A7" s="328" t="s">
        <v>214</v>
      </c>
      <c r="B7" s="316">
        <f t="shared" ref="B7:O7" si="3">B9-B11</f>
        <v>0</v>
      </c>
      <c r="C7" s="316">
        <f t="shared" si="3"/>
        <v>0</v>
      </c>
      <c r="D7" s="316">
        <f t="shared" si="3"/>
        <v>-1950.1650000000002</v>
      </c>
      <c r="E7" s="316">
        <f t="shared" si="3"/>
        <v>-1950.1650000000002</v>
      </c>
      <c r="F7" s="316">
        <f t="shared" si="3"/>
        <v>-1950.1650000000002</v>
      </c>
      <c r="G7" s="316">
        <f t="shared" si="3"/>
        <v>-1950.1650000000002</v>
      </c>
      <c r="H7" s="316">
        <f t="shared" si="3"/>
        <v>-1950.1650000000002</v>
      </c>
      <c r="I7" s="316">
        <f t="shared" si="3"/>
        <v>-1950.1650000000002</v>
      </c>
      <c r="J7" s="316">
        <f t="shared" si="3"/>
        <v>-1950.1650000000002</v>
      </c>
      <c r="K7" s="316">
        <f t="shared" si="3"/>
        <v>-1950.1650000000002</v>
      </c>
      <c r="L7" s="316">
        <f t="shared" si="3"/>
        <v>-1950.1650000000002</v>
      </c>
      <c r="M7" s="316">
        <f t="shared" si="3"/>
        <v>-1950.1650000000002</v>
      </c>
      <c r="N7" s="316">
        <f t="shared" si="3"/>
        <v>0</v>
      </c>
      <c r="O7" s="316">
        <f t="shared" si="3"/>
        <v>0</v>
      </c>
      <c r="P7" s="329">
        <f>SUM(B7:O7)</f>
        <v>-19501.650000000005</v>
      </c>
      <c r="Q7" s="275"/>
    </row>
    <row r="8" spans="1:17" s="249" customFormat="1" ht="12" x14ac:dyDescent="0.25">
      <c r="A8" s="328"/>
      <c r="B8" s="316">
        <f>B7</f>
        <v>0</v>
      </c>
      <c r="C8" s="316">
        <f>B8+C7</f>
        <v>0</v>
      </c>
      <c r="D8" s="316">
        <f>C8+D7</f>
        <v>-1950.1650000000002</v>
      </c>
      <c r="E8" s="316">
        <f t="shared" ref="E8:M8" si="4">D8+E7</f>
        <v>-3900.3300000000004</v>
      </c>
      <c r="F8" s="316">
        <f t="shared" si="4"/>
        <v>-5850.4950000000008</v>
      </c>
      <c r="G8" s="316">
        <f t="shared" si="4"/>
        <v>-7800.6600000000008</v>
      </c>
      <c r="H8" s="316">
        <f t="shared" si="4"/>
        <v>-9750.8250000000007</v>
      </c>
      <c r="I8" s="316">
        <f t="shared" si="4"/>
        <v>-11700.990000000002</v>
      </c>
      <c r="J8" s="316">
        <f t="shared" si="4"/>
        <v>-13651.155000000002</v>
      </c>
      <c r="K8" s="316">
        <f t="shared" si="4"/>
        <v>-15601.320000000003</v>
      </c>
      <c r="L8" s="316">
        <f t="shared" si="4"/>
        <v>-17551.485000000004</v>
      </c>
      <c r="M8" s="316">
        <f t="shared" si="4"/>
        <v>-19501.650000000005</v>
      </c>
      <c r="N8" s="316">
        <f>M8+N7</f>
        <v>-19501.650000000005</v>
      </c>
      <c r="O8" s="316">
        <f>N8+O7</f>
        <v>-19501.650000000005</v>
      </c>
      <c r="P8" s="329"/>
      <c r="Q8" s="275"/>
    </row>
    <row r="9" spans="1:17" s="249" customFormat="1" ht="12" outlineLevel="1" x14ac:dyDescent="0.25">
      <c r="A9" s="330" t="s">
        <v>215</v>
      </c>
      <c r="B9" s="331">
        <f t="shared" ref="B9:O9" si="5">B10</f>
        <v>0</v>
      </c>
      <c r="C9" s="331">
        <f t="shared" si="5"/>
        <v>0</v>
      </c>
      <c r="D9" s="331">
        <f t="shared" si="5"/>
        <v>0</v>
      </c>
      <c r="E9" s="331">
        <f t="shared" si="5"/>
        <v>0</v>
      </c>
      <c r="F9" s="331">
        <f t="shared" si="5"/>
        <v>0</v>
      </c>
      <c r="G9" s="331">
        <f t="shared" si="5"/>
        <v>0</v>
      </c>
      <c r="H9" s="331">
        <f t="shared" si="5"/>
        <v>0</v>
      </c>
      <c r="I9" s="331">
        <f t="shared" si="5"/>
        <v>0</v>
      </c>
      <c r="J9" s="331">
        <f t="shared" si="5"/>
        <v>0</v>
      </c>
      <c r="K9" s="331">
        <f t="shared" si="5"/>
        <v>0</v>
      </c>
      <c r="L9" s="331">
        <f t="shared" si="5"/>
        <v>0</v>
      </c>
      <c r="M9" s="331">
        <f t="shared" si="5"/>
        <v>0</v>
      </c>
      <c r="N9" s="331">
        <f t="shared" si="5"/>
        <v>0</v>
      </c>
      <c r="O9" s="331">
        <f t="shared" si="5"/>
        <v>0</v>
      </c>
      <c r="P9" s="332">
        <f t="shared" ref="P9:P83" si="6">SUM(B9:O9)</f>
        <v>0</v>
      </c>
      <c r="Q9" s="275"/>
    </row>
    <row r="10" spans="1:17" s="249" customFormat="1" ht="12" outlineLevel="1" x14ac:dyDescent="0.25">
      <c r="A10" s="333" t="s">
        <v>216</v>
      </c>
      <c r="B10" s="329"/>
      <c r="C10" s="329"/>
      <c r="D10" s="329"/>
      <c r="E10" s="329"/>
      <c r="F10" s="329"/>
      <c r="G10" s="329"/>
      <c r="H10" s="329"/>
      <c r="I10" s="329"/>
      <c r="J10" s="329">
        <f>('Trigo SP'!B79*'Trigo SP'!B3)*0.52</f>
        <v>0</v>
      </c>
      <c r="K10" s="329"/>
      <c r="L10" s="329"/>
      <c r="M10" s="329"/>
      <c r="N10" s="329"/>
      <c r="O10" s="329">
        <f>+('Trigo SP'!B79*'Trigo SP'!B3)*0.48</f>
        <v>0</v>
      </c>
      <c r="P10" s="329">
        <f t="shared" si="6"/>
        <v>0</v>
      </c>
      <c r="Q10" s="275"/>
    </row>
    <row r="11" spans="1:17" s="249" customFormat="1" ht="12" outlineLevel="1" x14ac:dyDescent="0.25">
      <c r="A11" s="334" t="s">
        <v>217</v>
      </c>
      <c r="B11" s="335">
        <f>SUM(B12:B19)</f>
        <v>0</v>
      </c>
      <c r="C11" s="335">
        <f t="shared" ref="C11:K11" si="7">SUM(C12:C19)</f>
        <v>0</v>
      </c>
      <c r="D11" s="335">
        <f t="shared" si="7"/>
        <v>1950.1650000000002</v>
      </c>
      <c r="E11" s="335">
        <f t="shared" si="7"/>
        <v>1950.1650000000002</v>
      </c>
      <c r="F11" s="335">
        <f t="shared" si="7"/>
        <v>1950.1650000000002</v>
      </c>
      <c r="G11" s="335">
        <f t="shared" si="7"/>
        <v>1950.1650000000002</v>
      </c>
      <c r="H11" s="335">
        <f t="shared" si="7"/>
        <v>1950.1650000000002</v>
      </c>
      <c r="I11" s="335">
        <f t="shared" si="7"/>
        <v>1950.1650000000002</v>
      </c>
      <c r="J11" s="335">
        <f t="shared" si="7"/>
        <v>1950.1650000000002</v>
      </c>
      <c r="K11" s="335">
        <f t="shared" si="7"/>
        <v>1950.1650000000002</v>
      </c>
      <c r="L11" s="335">
        <f>SUM(L12:L19)</f>
        <v>1950.1650000000002</v>
      </c>
      <c r="M11" s="335">
        <f>SUM(M12:M19)</f>
        <v>1950.1650000000002</v>
      </c>
      <c r="N11" s="335">
        <f>SUM(N12:N19)</f>
        <v>0</v>
      </c>
      <c r="O11" s="335">
        <f>SUM(O12:O19)</f>
        <v>0</v>
      </c>
      <c r="P11" s="336">
        <f>SUM(B11:O11)</f>
        <v>19501.650000000005</v>
      </c>
      <c r="Q11" s="275"/>
    </row>
    <row r="12" spans="1:17" s="249" customFormat="1" ht="12" outlineLevel="1" x14ac:dyDescent="0.25">
      <c r="A12" s="333" t="s">
        <v>206</v>
      </c>
      <c r="B12" s="329">
        <f>+'[2]Alquileres por campo'!$D$56+'[2]Alquileres por campo'!$E$56</f>
        <v>0</v>
      </c>
      <c r="C12" s="329">
        <f>+'[2]Alquileres por campo'!F56</f>
        <v>0</v>
      </c>
      <c r="D12" s="329">
        <f>+'[2]Alquileres por campo'!G56</f>
        <v>1950.1650000000002</v>
      </c>
      <c r="E12" s="329">
        <f>+'[2]Alquileres por campo'!H56</f>
        <v>1950.1650000000002</v>
      </c>
      <c r="F12" s="329">
        <f>+'[2]Alquileres por campo'!I56</f>
        <v>1950.1650000000002</v>
      </c>
      <c r="G12" s="329">
        <f>+'[2]Alquileres por campo'!J56</f>
        <v>1950.1650000000002</v>
      </c>
      <c r="H12" s="329">
        <f>+'[2]Alquileres por campo'!K56</f>
        <v>1950.1650000000002</v>
      </c>
      <c r="I12" s="329">
        <f>+'[2]Alquileres por campo'!L56</f>
        <v>1950.1650000000002</v>
      </c>
      <c r="J12" s="329">
        <f>+'[2]Alquileres por campo'!M56</f>
        <v>1950.1650000000002</v>
      </c>
      <c r="K12" s="329">
        <f>+'[2]Alquileres por campo'!N56</f>
        <v>1950.1650000000002</v>
      </c>
      <c r="L12" s="329">
        <f>+'[2]Alquileres por campo'!O56</f>
        <v>1950.1650000000002</v>
      </c>
      <c r="M12" s="329">
        <f>+'[2]Alquileres por campo'!P56</f>
        <v>1950.1650000000002</v>
      </c>
      <c r="N12" s="329">
        <f>+'[2]Alquileres por campo'!Q56</f>
        <v>0</v>
      </c>
      <c r="O12" s="329">
        <f>+'[2]Alquileres por campo'!R56</f>
        <v>0</v>
      </c>
      <c r="P12" s="329">
        <f t="shared" si="6"/>
        <v>19501.650000000005</v>
      </c>
      <c r="Q12" s="275"/>
    </row>
    <row r="13" spans="1:17" s="249" customFormat="1" ht="12" outlineLevel="1" x14ac:dyDescent="0.25">
      <c r="A13" s="333" t="s">
        <v>204</v>
      </c>
      <c r="B13" s="329">
        <f>((SUMIF('Trigo SP'!J8:J19,"MAYO",'Trigo SP'!E8:E19)*'Trigo SP'!B3)+(SUMIF('Trigo SS'!J8:J19,"MAYO",'Trigo SS'!E8:E19)*'Trigo SS'!B3))/9*'Tipo de Cambio Proyectado'!B2</f>
        <v>0</v>
      </c>
      <c r="C13" s="329">
        <f>((SUMIF('Trigo SP'!J8:J19,"JUNIO",'Trigo SP'!E8:E19)*'Trigo SP'!B3)+(SUMIF('Trigo SS'!J8:J19,"JUNIO",'Trigo SS'!E8:E19)*'Trigo SS'!B3))/9*'Tipo de Cambio Proyectado'!B3</f>
        <v>0</v>
      </c>
      <c r="D13" s="329">
        <f>(SUMIF('Trigo SP'!J8:J19,"JULIO",'Trigo SP'!E8:E19)*'Trigo SP'!B3)+(SUMIF('Trigo SS'!J8:J19,"JULIO",'Trigo SS'!E8:E19)*'Trigo SS'!B3)+(SUMIF('Trigo SS'!J8:J19,"JULIO/SEPTIEMBRE",'Trigo SS'!E8:E19)*'Trigo SS'!B3*0.5)+(SUMIF('Trigo SP'!J8:J19,"JULIO/SEPTIEMBRE",'Trigo SP'!E8:E19)*'Trigo SP'!B3*0.5)</f>
        <v>0</v>
      </c>
      <c r="E13" s="329">
        <f>(SUMIF('Trigo SP'!J8:J19,"AGOSTO",'Trigo SP'!E8:E19)*'Trigo SP'!B3)+(SUMIF('Trigo SS'!J8:J19,"AGOSTO",'Trigo SS'!E8:E19)*'Trigo SS'!B3)</f>
        <v>0</v>
      </c>
      <c r="F13" s="329">
        <f>(SUMIF('Trigo SP'!K8:K19,"SEPTIEMBRE",'Trigo SP'!F8:F19)*'Trigo SP'!B3)+(SUMIF('Trigo SS'!K8:K19,"SEPTIEMBRE",'Trigo SS'!F8:F19)*'Trigo SS'!B3)+(SUMIF('Trigo SS'!J8:J19,"JULIO/SEPTIEMBRE",'Trigo SS'!E8:E19)*'Trigo SS'!B3*0.5)+(SUMIF('Trigo SP'!J8:J19,"JULIO/SEPTIEMBRE",'Trigo SP'!E8:E19)*'Trigo SP'!B3*0.5)</f>
        <v>0</v>
      </c>
      <c r="G13" s="329">
        <f>(SUMIF('Trigo SP'!K8:K19,"OCTUBRE",'Trigo SP'!F8:F19)*'Trigo SP'!B3)+(SUMIF('Trigo SS'!K8:K19,"OCTUBRE",'Trigo SS'!F8:F19)*'Trigo SS'!B3)</f>
        <v>0</v>
      </c>
      <c r="H13" s="329">
        <f>(SUMIF('Trigo SP'!K8:K19,"NOVIEMBRE",'Trigo SP'!F8:F19)*'Trigo SP'!B3)+(SUMIF('Trigo SS'!K8:K19,"NOVIEMBRE",'Trigo SS'!F8:F19)*'Trigo SS'!B3)</f>
        <v>0</v>
      </c>
      <c r="I13" s="329">
        <f>(SUMIF('Trigo SP'!J8:J18,"DICIEMBRE",'Trigo SP'!E8:E19)*'Trigo SP'!B3)+(SUMIF('Trigo SS'!K8:K19,"DICIEMBRE",'Trigo SS'!F8:F19)*'Trigo SS'!C3)</f>
        <v>0</v>
      </c>
      <c r="J13" s="329">
        <f>(SUMIF('Trigo SP'!K8:K19,"ENERO",'Trigo SP'!F8:F19)*'Trigo SP'!C3)+(SUMIF('Trigo SS'!K8:K19,"ENERO",'Trigo SS'!F8:F19)*'Trigo SS'!C3)</f>
        <v>0</v>
      </c>
      <c r="K13" s="329">
        <f>(SUMIF('Trigo SP'!K8:K19,"FEBRERO",'Trigo SP'!F8:F19)*'Trigo SP'!C3)+(SUMIF('Trigo SS'!K8:K19,"FEBRERO",'Trigo SS'!F8:F19)*'Trigo SS'!C3)</f>
        <v>0</v>
      </c>
      <c r="L13" s="329">
        <f>(SUMIF('Trigo SP'!K8:K19,"MARZO",'Trigo SP'!F8:F19)*'Trigo SP'!C3)+(SUMIF('Trigo SS'!K8:K19,"MARZO",'Trigo SS'!F8:F19)*'Trigo SS'!C3)</f>
        <v>0</v>
      </c>
      <c r="M13" s="329"/>
      <c r="N13" s="329"/>
      <c r="O13" s="329"/>
      <c r="P13" s="329">
        <f t="shared" si="6"/>
        <v>0</v>
      </c>
      <c r="Q13" s="275"/>
    </row>
    <row r="14" spans="1:17" s="249" customFormat="1" ht="12" outlineLevel="1" x14ac:dyDescent="0.25">
      <c r="A14" s="333" t="s">
        <v>218</v>
      </c>
      <c r="B14" s="329">
        <f>(SUMIF('Trigo SP'!J38:J49,"MAYO",'Trigo SP'!E38:E49)*'Trigo SP'!B3)+(SUMIF('Trigo SS'!J37:J45,"MAYO",'Trigo SS'!E37:E45)*'Trigo SS'!B3)</f>
        <v>0</v>
      </c>
      <c r="C14" s="329">
        <f>(SUMIF('Trigo SP'!J38:J49,"JUNIO",'Trigo SP'!E38:E49)*'Trigo SP'!B3)+(SUMIF('Trigo SS'!J37:J45,"JUNIO",'Trigo SS'!E37:E45)*'Trigo SS'!B3)</f>
        <v>0</v>
      </c>
      <c r="D14" s="329">
        <f>(SUMIF('Trigo SP'!J38:J49,"JULIO",'Trigo SP'!E38:E49)*'Trigo SP'!B3)+(SUMIF('Trigo SS'!J37:J45,"JULIO",'Trigo SS'!E37:E45)*'Trigo SS'!B3)</f>
        <v>0</v>
      </c>
      <c r="E14" s="329">
        <f>(SUMIF('Trigo SP'!J38:J49,"AGOSTO",'Trigo SP'!E38:E49)*'Trigo SP'!B3)+(SUMIF('Trigo SS'!J37:J45,"AGOSTO",'Trigo SS'!E37:E45)*'Trigo SS'!B3)</f>
        <v>0</v>
      </c>
      <c r="F14" s="329">
        <f>(SUMIF('Trigo SP'!J38:J49,"SEPTIEMBRE",'Trigo SP'!E38:E49)*'Trigo SP'!B3)+(SUMIF('Trigo SS'!J37:J45,"SEPTIEMBRE",'Trigo SS'!E37:E45)*'Trigo SS'!B3)</f>
        <v>0</v>
      </c>
      <c r="G14" s="329">
        <f>(SUMIF('Trigo SP'!J38:J49,"OCTUBRE",'Trigo SP'!E38:E49)*'Trigo SP'!B3)+(SUMIF('Trigo SS'!J37:J45,"OCTUBRE",'Trigo SS'!E37:E45)*'Trigo SS'!B3)</f>
        <v>0</v>
      </c>
      <c r="H14" s="329">
        <f>(SUMIF('Trigo SP'!J38:J49,"NOVIEMBRE",'Trigo SP'!E38:E49)*'Trigo SP'!B3)+(SUMIF('Trigo SS'!J37:J45,"NOVIEMBRE",'Trigo SS'!E37:E45)*'Trigo SS'!B3)</f>
        <v>0</v>
      </c>
      <c r="I14" s="329">
        <f>(SUMIF('Trigo SP'!J38:J49,"DICIEMBRE",'Trigo SP'!E38:E49)*'Trigo SP'!B3)+(SUMIF('Trigo SS'!J37:J45,"DICIEMBRE",'Trigo SS'!E37:E45)*'Trigo SS'!B3)</f>
        <v>0</v>
      </c>
      <c r="J14" s="329">
        <f>(SUMIF('Trigo SP'!J38:J49,"ENERO",'Trigo SP'!E38:E49)*'Trigo SP'!B3)+(SUMIF('Trigo SS'!J37:J45,"ENERO",'Trigo SS'!E37:E45)*'Trigo SS'!B3)</f>
        <v>0</v>
      </c>
      <c r="K14" s="329">
        <f>(SUMIF('Trigo SP'!J38:J49,"FEBRERO",'Trigo SP'!E38:E49)*'Trigo SP'!B3)+(SUMIF('Trigo SS'!J37:J45,"FEBRERO",'Trigo SS'!E37:E45)*'Trigo SS'!B3)</f>
        <v>0</v>
      </c>
      <c r="L14" s="329">
        <f>(SUMIF('Trigo SP'!J38:J49,"MARZO",'Trigo SP'!E38:E49)*'Trigo SP'!B3)+(SUMIF('Trigo SS'!J37:J45,"MARZO",'Trigo SS'!E37:E45)*'Trigo SS'!B3)</f>
        <v>0</v>
      </c>
      <c r="M14" s="329"/>
      <c r="N14" s="329"/>
      <c r="O14" s="329"/>
      <c r="P14" s="329">
        <f>SUM(B14:O14)</f>
        <v>0</v>
      </c>
      <c r="Q14" s="275"/>
    </row>
    <row r="15" spans="1:17" s="249" customFormat="1" ht="12" outlineLevel="1" x14ac:dyDescent="0.25">
      <c r="A15" s="333" t="s">
        <v>219</v>
      </c>
      <c r="B15" s="329">
        <f>('Trigo SP'!B3*SUMIF('Trigo SP'!J33:J34,"MAYO",'Trigo SP'!E33:E34))+('Trigo SS'!B3*SUMIF('Trigo SS'!J33:J34,"MAYO",'Trigo SS'!E33:E34))</f>
        <v>0</v>
      </c>
      <c r="C15" s="329">
        <f>('Trigo SP'!B3*SUMIF('Trigo SP'!J33:J34,"JUNIO",'Trigo SP'!E33:E34))+('Trigo SS'!B3*SUMIF('Trigo SS'!J33:J34,"JUNIO",'Trigo SS'!E33:E34))</f>
        <v>0</v>
      </c>
      <c r="D15" s="329">
        <f>('Trigo SP'!B3*SUMIF('Trigo SP'!J33:J34,"JULIO",'Trigo SP'!E33:E34))+('Trigo SS'!B3*SUMIF('Trigo SS'!J33:J34,"JULIO",'Trigo SS'!E33:E34))</f>
        <v>0</v>
      </c>
      <c r="E15" s="329"/>
      <c r="F15" s="329"/>
      <c r="G15" s="329"/>
      <c r="H15" s="329"/>
      <c r="I15" s="329">
        <f>+'Trigo SP'!I33</f>
        <v>0</v>
      </c>
      <c r="J15" s="329">
        <f>+'Trigo SP'!I34</f>
        <v>0</v>
      </c>
      <c r="K15" s="329"/>
      <c r="L15" s="329"/>
      <c r="M15" s="329"/>
      <c r="N15" s="329"/>
      <c r="O15" s="329"/>
      <c r="P15" s="329">
        <f>SUM(B15:O15)</f>
        <v>0</v>
      </c>
      <c r="Q15" s="275"/>
    </row>
    <row r="16" spans="1:17" s="249" customFormat="1" ht="12" outlineLevel="1" x14ac:dyDescent="0.25">
      <c r="A16" s="333" t="s">
        <v>205</v>
      </c>
      <c r="B16" s="329"/>
      <c r="C16" s="329"/>
      <c r="D16" s="329"/>
      <c r="E16" s="329"/>
      <c r="F16" s="329"/>
      <c r="G16" s="329"/>
      <c r="H16" s="329"/>
      <c r="I16" s="329"/>
      <c r="J16" s="329">
        <f>'Trigo SP'!B3*'Trigo SP'!E22+'Trigo SS'!B3*'Trigo SS'!E23</f>
        <v>0</v>
      </c>
      <c r="K16" s="329"/>
      <c r="L16" s="329"/>
      <c r="M16" s="329"/>
      <c r="N16" s="329"/>
      <c r="O16" s="329"/>
      <c r="P16" s="329">
        <f>SUM(B16:O16)</f>
        <v>0</v>
      </c>
      <c r="Q16" s="275"/>
    </row>
    <row r="17" spans="1:16" s="249" customFormat="1" ht="12" outlineLevel="1" x14ac:dyDescent="0.25">
      <c r="A17" s="333" t="s">
        <v>220</v>
      </c>
      <c r="B17" s="329"/>
      <c r="C17" s="329"/>
      <c r="D17" s="329"/>
      <c r="E17" s="329"/>
      <c r="F17" s="329"/>
      <c r="G17" s="329"/>
      <c r="H17" s="329"/>
      <c r="I17" s="329"/>
      <c r="J17" s="329">
        <f>('Trigo SP'!B3*('Trigo SP'!E53+'Trigo SP'!E70))+('Trigo SS'!B3*('Trigo SS'!D48+'Trigo SS'!E59))</f>
        <v>0</v>
      </c>
      <c r="K17" s="329"/>
      <c r="L17" s="329"/>
      <c r="M17" s="329"/>
      <c r="N17" s="329"/>
      <c r="O17" s="329"/>
      <c r="P17" s="329">
        <f t="shared" si="6"/>
        <v>0</v>
      </c>
    </row>
    <row r="18" spans="1:16" s="249" customFormat="1" ht="12" outlineLevel="1" x14ac:dyDescent="0.25">
      <c r="A18" s="333" t="s">
        <v>207</v>
      </c>
      <c r="B18" s="329">
        <f>(('Trigo SP'!D29*'Trigo SP'!B3)+('Trigo SS'!D29*'Trigo SS'!B3))*0.1</f>
        <v>0</v>
      </c>
      <c r="C18" s="329">
        <f>(('Trigo SP'!D29*'Trigo SP'!B3)+('Trigo SS'!D29*'Trigo SS'!B3))*0.1</f>
        <v>0</v>
      </c>
      <c r="D18" s="329">
        <f>(('Trigo SP'!D29*'Trigo SP'!B3)+('Trigo SS'!D29*'Trigo SS'!B3))*0.1</f>
        <v>0</v>
      </c>
      <c r="E18" s="329">
        <f>(('Trigo SP'!D29*'Trigo SP'!B3)+('Trigo SS'!D29*'Trigo SS'!B3))*0.1</f>
        <v>0</v>
      </c>
      <c r="F18" s="329">
        <f>(('Trigo SP'!D29*'Trigo SP'!B3)+('Trigo SS'!D29*'Trigo SS'!B3))*0.1</f>
        <v>0</v>
      </c>
      <c r="G18" s="329">
        <f>(('Trigo SP'!D29*'Trigo SP'!B3)+('Trigo SS'!D29*'Trigo SS'!B3))*0.1</f>
        <v>0</v>
      </c>
      <c r="H18" s="329">
        <f>(('Trigo SP'!D29*'Trigo SP'!B3)+('Trigo SS'!D29*'Trigo SS'!B3))*0.1</f>
        <v>0</v>
      </c>
      <c r="I18" s="329">
        <f>(('Trigo SP'!D29*'Trigo SP'!B3)+('Trigo SS'!D29*'Trigo SS'!B3))*0.1</f>
        <v>0</v>
      </c>
      <c r="J18" s="329">
        <f>(('Trigo SP'!D29*'Trigo SP'!B3)+('Trigo SS'!D29*'Trigo SS'!B3))*0.1</f>
        <v>0</v>
      </c>
      <c r="K18" s="329">
        <f>(('Trigo SP'!D29*'Trigo SP'!B3)+('Trigo SS'!D29*'Trigo SS'!B3))*0.1</f>
        <v>0</v>
      </c>
      <c r="L18" s="329"/>
      <c r="M18" s="329"/>
      <c r="N18" s="329"/>
      <c r="O18" s="329"/>
      <c r="P18" s="329">
        <f t="shared" si="6"/>
        <v>0</v>
      </c>
    </row>
    <row r="19" spans="1:16" s="249" customFormat="1" ht="12" outlineLevel="1" x14ac:dyDescent="0.25">
      <c r="A19" s="333" t="s">
        <v>221</v>
      </c>
      <c r="B19" s="329"/>
      <c r="C19" s="329"/>
      <c r="D19" s="329"/>
      <c r="E19" s="329"/>
      <c r="F19" s="329"/>
      <c r="G19" s="329"/>
      <c r="H19" s="329"/>
      <c r="I19" s="329"/>
      <c r="J19" s="329"/>
      <c r="K19" s="329">
        <f>('Trigo SP'!B3*'Trigo SP'!D54)+('Trigo SS'!D61*'Trigo SS'!B3)</f>
        <v>0</v>
      </c>
      <c r="L19" s="329"/>
      <c r="M19" s="329"/>
      <c r="N19" s="329"/>
      <c r="O19" s="329"/>
      <c r="P19" s="329">
        <f t="shared" si="6"/>
        <v>0</v>
      </c>
    </row>
    <row r="20" spans="1:16" s="261" customFormat="1" ht="13.8" x14ac:dyDescent="0.3">
      <c r="A20" s="333"/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</row>
    <row r="21" spans="1:16" s="261" customFormat="1" ht="13.8" x14ac:dyDescent="0.3">
      <c r="A21" s="337" t="s">
        <v>222</v>
      </c>
      <c r="B21" s="316">
        <f>B23-B25</f>
        <v>0</v>
      </c>
      <c r="C21" s="316">
        <f t="shared" ref="C21:O21" si="8">C23-C25</f>
        <v>0</v>
      </c>
      <c r="D21" s="316">
        <f t="shared" si="8"/>
        <v>0</v>
      </c>
      <c r="E21" s="316">
        <f t="shared" si="8"/>
        <v>0</v>
      </c>
      <c r="F21" s="316">
        <f t="shared" si="8"/>
        <v>0</v>
      </c>
      <c r="G21" s="316">
        <f t="shared" si="8"/>
        <v>0</v>
      </c>
      <c r="H21" s="316">
        <f t="shared" si="8"/>
        <v>0</v>
      </c>
      <c r="I21" s="316">
        <f t="shared" si="8"/>
        <v>0</v>
      </c>
      <c r="J21" s="316">
        <f t="shared" si="8"/>
        <v>0</v>
      </c>
      <c r="K21" s="316">
        <f t="shared" si="8"/>
        <v>0</v>
      </c>
      <c r="L21" s="316">
        <v>0</v>
      </c>
      <c r="M21" s="316">
        <f t="shared" si="8"/>
        <v>0</v>
      </c>
      <c r="N21" s="316">
        <f t="shared" si="8"/>
        <v>0</v>
      </c>
      <c r="O21" s="316">
        <f t="shared" si="8"/>
        <v>0</v>
      </c>
      <c r="P21" s="329">
        <f t="shared" si="6"/>
        <v>0</v>
      </c>
    </row>
    <row r="22" spans="1:16" s="249" customFormat="1" ht="12" x14ac:dyDescent="0.25">
      <c r="A22" s="337"/>
      <c r="B22" s="316">
        <f>B21</f>
        <v>0</v>
      </c>
      <c r="C22" s="316">
        <f>B22+C21</f>
        <v>0</v>
      </c>
      <c r="D22" s="316">
        <f t="shared" ref="D22:O22" si="9">C22+D21</f>
        <v>0</v>
      </c>
      <c r="E22" s="316">
        <f t="shared" si="9"/>
        <v>0</v>
      </c>
      <c r="F22" s="316">
        <f t="shared" si="9"/>
        <v>0</v>
      </c>
      <c r="G22" s="316">
        <f t="shared" si="9"/>
        <v>0</v>
      </c>
      <c r="H22" s="316">
        <f t="shared" si="9"/>
        <v>0</v>
      </c>
      <c r="I22" s="316">
        <f t="shared" si="9"/>
        <v>0</v>
      </c>
      <c r="J22" s="316">
        <f t="shared" si="9"/>
        <v>0</v>
      </c>
      <c r="K22" s="316">
        <f t="shared" si="9"/>
        <v>0</v>
      </c>
      <c r="L22" s="316">
        <v>0</v>
      </c>
      <c r="M22" s="316">
        <v>0</v>
      </c>
      <c r="N22" s="316">
        <f t="shared" si="9"/>
        <v>0</v>
      </c>
      <c r="O22" s="316">
        <f t="shared" si="9"/>
        <v>0</v>
      </c>
      <c r="P22" s="329"/>
    </row>
    <row r="23" spans="1:16" s="249" customFormat="1" ht="12" outlineLevel="1" x14ac:dyDescent="0.25">
      <c r="A23" s="330" t="s">
        <v>215</v>
      </c>
      <c r="B23" s="331">
        <f t="shared" ref="B23:O23" si="10">B24</f>
        <v>0</v>
      </c>
      <c r="C23" s="331">
        <f t="shared" si="10"/>
        <v>0</v>
      </c>
      <c r="D23" s="331">
        <f t="shared" si="10"/>
        <v>0</v>
      </c>
      <c r="E23" s="331">
        <f t="shared" si="10"/>
        <v>0</v>
      </c>
      <c r="F23" s="331">
        <f t="shared" si="10"/>
        <v>0</v>
      </c>
      <c r="G23" s="331">
        <f t="shared" si="10"/>
        <v>0</v>
      </c>
      <c r="H23" s="331">
        <f t="shared" si="10"/>
        <v>0</v>
      </c>
      <c r="I23" s="331">
        <f t="shared" si="10"/>
        <v>0</v>
      </c>
      <c r="J23" s="331">
        <f t="shared" si="10"/>
        <v>0</v>
      </c>
      <c r="K23" s="331">
        <f t="shared" si="10"/>
        <v>0</v>
      </c>
      <c r="L23" s="331">
        <f t="shared" si="10"/>
        <v>0</v>
      </c>
      <c r="M23" s="331">
        <f t="shared" si="10"/>
        <v>0</v>
      </c>
      <c r="N23" s="331">
        <f t="shared" si="10"/>
        <v>0</v>
      </c>
      <c r="O23" s="331">
        <f t="shared" si="10"/>
        <v>0</v>
      </c>
      <c r="P23" s="332">
        <f t="shared" si="6"/>
        <v>0</v>
      </c>
    </row>
    <row r="24" spans="1:16" s="249" customFormat="1" ht="12" outlineLevel="1" x14ac:dyDescent="0.25">
      <c r="A24" s="333" t="s">
        <v>216</v>
      </c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>
        <f>'Soja 2da. T'!B76*'Soja 2da. T'!B3</f>
        <v>0</v>
      </c>
      <c r="P24" s="329">
        <f t="shared" si="6"/>
        <v>0</v>
      </c>
    </row>
    <row r="25" spans="1:16" s="249" customFormat="1" ht="12" outlineLevel="1" x14ac:dyDescent="0.25">
      <c r="A25" s="335" t="s">
        <v>217</v>
      </c>
      <c r="B25" s="335">
        <f t="shared" ref="B25:O25" si="11">SUM(B26:B32)</f>
        <v>0</v>
      </c>
      <c r="C25" s="335">
        <f t="shared" si="11"/>
        <v>0</v>
      </c>
      <c r="D25" s="335">
        <f t="shared" si="11"/>
        <v>0</v>
      </c>
      <c r="E25" s="335">
        <f t="shared" si="11"/>
        <v>0</v>
      </c>
      <c r="F25" s="335">
        <f t="shared" si="11"/>
        <v>0</v>
      </c>
      <c r="G25" s="335">
        <f t="shared" si="11"/>
        <v>0</v>
      </c>
      <c r="H25" s="335">
        <f t="shared" si="11"/>
        <v>0</v>
      </c>
      <c r="I25" s="335">
        <f t="shared" si="11"/>
        <v>0</v>
      </c>
      <c r="J25" s="335">
        <f t="shared" si="11"/>
        <v>0</v>
      </c>
      <c r="K25" s="335">
        <f t="shared" si="11"/>
        <v>0</v>
      </c>
      <c r="L25" s="335">
        <f t="shared" si="11"/>
        <v>0</v>
      </c>
      <c r="M25" s="335">
        <f t="shared" si="11"/>
        <v>0</v>
      </c>
      <c r="N25" s="335">
        <f t="shared" si="11"/>
        <v>0</v>
      </c>
      <c r="O25" s="335">
        <f t="shared" si="11"/>
        <v>0</v>
      </c>
      <c r="P25" s="335">
        <f t="shared" si="6"/>
        <v>0</v>
      </c>
    </row>
    <row r="26" spans="1:16" s="249" customFormat="1" ht="12" outlineLevel="1" x14ac:dyDescent="0.25">
      <c r="A26" s="333" t="s">
        <v>206</v>
      </c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>
        <f t="shared" si="6"/>
        <v>0</v>
      </c>
    </row>
    <row r="27" spans="1:16" s="249" customFormat="1" ht="12" outlineLevel="1" x14ac:dyDescent="0.25">
      <c r="A27" s="333" t="s">
        <v>204</v>
      </c>
      <c r="B27" s="329"/>
      <c r="C27" s="329"/>
      <c r="D27" s="329">
        <f>(SUMIF('Soja 2da. T'!J7:J17,"JULIO",'Soja 2da. T'!E7:E17))*'Soja 2da. T'!B3</f>
        <v>0</v>
      </c>
      <c r="E27" s="329">
        <f>(SUMIF('Soja 2da. T'!J7:J17,"AGOSTO",'Soja 2da. T'!E7:E17))*'Soja 2da. T'!B3</f>
        <v>0</v>
      </c>
      <c r="F27" s="329">
        <f>(SUMIF('Soja 2da. T'!J7:J17,"SEPTIEMBRE",'Soja 2da. T'!E7:E17))*'Soja 2da. T'!B3</f>
        <v>0</v>
      </c>
      <c r="G27" s="329">
        <f>(SUMIF('Soja 2da. T'!J7:J17,"OCTUBREL",'Soja 2da. T'!E7:E17))*'Soja 2da. T'!B3</f>
        <v>0</v>
      </c>
      <c r="H27" s="329">
        <f>(SUMIF('Soja 2da. T'!J7:J17,"NOVIEMBRE",'Soja 2da. T'!E7:E17))*'Soja 2da. T'!B3</f>
        <v>0</v>
      </c>
      <c r="I27" s="329">
        <f>(SUMIF('Soja 2da. T'!J7:J17,"DICIEMBRE",'Soja 2da. T'!E7:E17))*'Soja 2da. T'!B3</f>
        <v>0</v>
      </c>
      <c r="J27" s="329">
        <f>(SUMIF('Soja 2da. T'!J7:J17,"ENERO",'Soja 2da. T'!E7:E17))*'Soja 2da. T'!B3</f>
        <v>0</v>
      </c>
      <c r="K27" s="329">
        <f>(SUMIF('Soja 2da. T'!J7:J17,"FEBRERO",'Soja 2da. T'!E7:E17))*'Soja 2da. T'!B3</f>
        <v>0</v>
      </c>
      <c r="L27" s="329">
        <f>(SUMIF('Soja 2da. T'!J7:J17,"MARZO",'Soja 2da. T'!E7:E17))*'Soja 2da. T'!B3</f>
        <v>0</v>
      </c>
      <c r="M27" s="329">
        <f>(SUMIF('Soja 2da. T'!J7:J17,"ABRIL",'Soja 2da. T'!E7:E17))*'Soja 2da. T'!B3</f>
        <v>0</v>
      </c>
      <c r="N27" s="329">
        <f>(SUMIF('Soja 2da. T'!J7:J17,"MAYO",'Soja 2da. T'!E7:E17))*'Soja 2da. T'!B3</f>
        <v>0</v>
      </c>
      <c r="O27" s="329">
        <f>(SUMIF('Soja 2da. T'!J7:J17,"JUNIO",'Soja 2da. T'!E7:E17))*'Soja 2da. T'!B3</f>
        <v>0</v>
      </c>
      <c r="P27" s="329">
        <f t="shared" si="6"/>
        <v>0</v>
      </c>
    </row>
    <row r="28" spans="1:16" s="249" customFormat="1" ht="12" outlineLevel="1" x14ac:dyDescent="0.25">
      <c r="A28" s="333" t="s">
        <v>218</v>
      </c>
      <c r="B28" s="329"/>
      <c r="C28" s="329"/>
      <c r="D28" s="329">
        <f>(SUMIF('Soja 2da. T'!J35:J44,"JULIO",'Soja 2da. T'!E35:E44)*'Soja 2da. T'!B3)</f>
        <v>0</v>
      </c>
      <c r="E28" s="329">
        <f>(SUMIF('Soja 2da. T'!J35:J44,"AGOSTO",'Soja 2da. T'!E35:E44)*'Soja 2da. T'!B3)</f>
        <v>0</v>
      </c>
      <c r="F28" s="329">
        <f>(SUMIF('Soja 2da. T'!J35:J44,"SEPTIEMBRE",'Soja 2da. T'!E35:E44)*'Soja 2da. T'!B3)</f>
        <v>0</v>
      </c>
      <c r="G28" s="329">
        <f>(SUMIF('Soja 2da. T'!J35:J44,"OCTUBRE",'Soja 2da. T'!E35:E44)*'Soja 2da. T'!B3)</f>
        <v>0</v>
      </c>
      <c r="H28" s="329">
        <f>(SUMIF('Soja 2da. T'!J35:J44,"NOVIEMBRE",'Soja 2da. T'!E35:E44)*'Soja 2da. T'!B3)</f>
        <v>0</v>
      </c>
      <c r="I28" s="329">
        <f>(SUMIF('Soja 2da. T'!J35:J44,"DICIEMBRE",'Soja 2da. T'!E35:E44)*'Soja 2da. T'!B3)</f>
        <v>0</v>
      </c>
      <c r="J28" s="329">
        <f>(SUMIF('Soja 2da. T'!J35:J44,"ENERO",'Soja 2da. T'!E35:E44)*'Soja 2da. T'!B3)+('Soja 2da. T'!B3*SUMIF('Soja 2da. T'!J35:J44,"ENERO/MARZO",'Soja 2da. T'!E35:E44)*0.5)</f>
        <v>0</v>
      </c>
      <c r="K28" s="329">
        <f>(SUMIF('Soja 2da. T'!J35:J44,"FEBRERO",'Soja 2da. T'!E35:E44)*'Soja 2da. T'!B3)</f>
        <v>0</v>
      </c>
      <c r="L28" s="329">
        <f>(SUMIF('Soja 2da. T'!J35:J44,"MARZO",'Soja 2da. T'!E35:E44)*'Soja 2da. T'!B3)+('Soja 2da. T'!B3*SUMIF('Soja 2da. T'!J35:J44,"ENERO/MARZO",'Soja 2da. T'!E35:E44)*0.5)</f>
        <v>0</v>
      </c>
      <c r="M28" s="329">
        <f>(SUMIF('Soja 2da. T'!J35:J44,"ABRIL",'Soja 2da. T'!E35:E44)*'Soja 2da. T'!B3)</f>
        <v>0</v>
      </c>
      <c r="N28" s="329">
        <f>(SUMIF('Soja 2da. T'!J35:J44,"MAYO",'Soja 2da. T'!E35:E44)*'Soja 2da. T'!B3)</f>
        <v>0</v>
      </c>
      <c r="O28" s="329">
        <f>(SUMIF('Soja 2da. T'!J35:J44,"JUNIO",'Soja 2da. T'!E35:E44)*'Soja 2da. T'!B3)</f>
        <v>0</v>
      </c>
      <c r="P28" s="329">
        <f>SUM(B28:O28)</f>
        <v>0</v>
      </c>
    </row>
    <row r="29" spans="1:16" s="249" customFormat="1" ht="12" outlineLevel="1" x14ac:dyDescent="0.25">
      <c r="A29" s="333" t="s">
        <v>205</v>
      </c>
      <c r="B29" s="329"/>
      <c r="C29" s="329"/>
      <c r="D29" s="329"/>
      <c r="E29" s="329"/>
      <c r="F29" s="329"/>
      <c r="G29" s="329"/>
      <c r="H29" s="329"/>
      <c r="I29" s="329"/>
      <c r="J29" s="329">
        <f>'Soja 2da. T'!B3*'Soja 2da. T'!E21</f>
        <v>0</v>
      </c>
      <c r="K29" s="329"/>
      <c r="L29" s="329"/>
      <c r="M29" s="329"/>
      <c r="N29" s="329"/>
      <c r="O29" s="329"/>
      <c r="P29" s="329">
        <f>SUM(B29:O29)</f>
        <v>0</v>
      </c>
    </row>
    <row r="30" spans="1:16" s="249" customFormat="1" ht="12" outlineLevel="1" x14ac:dyDescent="0.25">
      <c r="A30" s="333" t="s">
        <v>220</v>
      </c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>
        <f>'Soja 2da. T'!B3*('Soja 2da. T'!E48+'Soja 2da. T'!E67)</f>
        <v>0</v>
      </c>
      <c r="P30" s="329">
        <f t="shared" si="6"/>
        <v>0</v>
      </c>
    </row>
    <row r="31" spans="1:16" s="249" customFormat="1" ht="12" outlineLevel="1" x14ac:dyDescent="0.25">
      <c r="A31" s="333" t="s">
        <v>207</v>
      </c>
      <c r="B31" s="329"/>
      <c r="C31" s="329"/>
      <c r="D31" s="329"/>
      <c r="E31" s="329"/>
      <c r="F31" s="329">
        <f>('Soja 2da. T'!D27*'Soja 2da. T'!B3)*0.1</f>
        <v>0</v>
      </c>
      <c r="G31" s="329">
        <f>('Soja 2da. T'!D27*'Soja 2da. T'!B3)*0.1</f>
        <v>0</v>
      </c>
      <c r="H31" s="329">
        <f>('Soja 2da. T'!D27*'Soja 2da. T'!B3)*0.1</f>
        <v>0</v>
      </c>
      <c r="I31" s="329">
        <f>('Soja 2da. T'!D27*'Soja 2da. T'!B3)*0.1</f>
        <v>0</v>
      </c>
      <c r="J31" s="329">
        <f>('Soja 2da. T'!D27*'Soja 2da. T'!B3)*0.1</f>
        <v>0</v>
      </c>
      <c r="K31" s="329">
        <f>('Soja 2da. T'!D27*'Soja 2da. T'!B3)*0.1</f>
        <v>0</v>
      </c>
      <c r="L31" s="329">
        <f>('Soja 2da. T'!D27*'Soja 2da. T'!B3)*0.1</f>
        <v>0</v>
      </c>
      <c r="M31" s="329">
        <f>('Soja 2da. T'!D27*'Soja 2da. T'!B3)*0.1</f>
        <v>0</v>
      </c>
      <c r="N31" s="329">
        <f>('Soja 2da. T'!D27*'Soja 2da. T'!B3)*0.1</f>
        <v>0</v>
      </c>
      <c r="O31" s="329">
        <f>('Soja 2da. T'!D27*'Soja 2da. T'!B3)*0.1</f>
        <v>0</v>
      </c>
      <c r="P31" s="329">
        <f t="shared" si="6"/>
        <v>0</v>
      </c>
    </row>
    <row r="32" spans="1:16" s="249" customFormat="1" ht="12" outlineLevel="1" x14ac:dyDescent="0.25">
      <c r="A32" s="333" t="s">
        <v>221</v>
      </c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>
        <f>'Soja 2da. T'!E51*'Soja 2da. T'!B3</f>
        <v>0</v>
      </c>
      <c r="P32" s="329">
        <f t="shared" si="6"/>
        <v>0</v>
      </c>
    </row>
    <row r="34" spans="1:16" s="261" customFormat="1" ht="13.8" x14ac:dyDescent="0.3">
      <c r="A34" s="328" t="s">
        <v>223</v>
      </c>
      <c r="B34" s="329">
        <f>B36-B38</f>
        <v>0</v>
      </c>
      <c r="C34" s="329">
        <f t="shared" ref="C34:O34" si="12">C36-C38</f>
        <v>0</v>
      </c>
      <c r="D34" s="329">
        <f t="shared" si="12"/>
        <v>0</v>
      </c>
      <c r="E34" s="329">
        <f t="shared" si="12"/>
        <v>0</v>
      </c>
      <c r="F34" s="329">
        <f t="shared" si="12"/>
        <v>0</v>
      </c>
      <c r="G34" s="329">
        <f t="shared" si="12"/>
        <v>0</v>
      </c>
      <c r="H34" s="329">
        <f t="shared" si="12"/>
        <v>0</v>
      </c>
      <c r="I34" s="329">
        <f t="shared" si="12"/>
        <v>0</v>
      </c>
      <c r="J34" s="329">
        <f t="shared" si="12"/>
        <v>0</v>
      </c>
      <c r="K34" s="329">
        <f t="shared" si="12"/>
        <v>0</v>
      </c>
      <c r="L34" s="329">
        <f t="shared" si="12"/>
        <v>0</v>
      </c>
      <c r="M34" s="329">
        <f t="shared" si="12"/>
        <v>0</v>
      </c>
      <c r="N34" s="329">
        <f t="shared" si="12"/>
        <v>0</v>
      </c>
      <c r="O34" s="329">
        <f t="shared" si="12"/>
        <v>0</v>
      </c>
      <c r="P34" s="329">
        <f t="shared" si="6"/>
        <v>0</v>
      </c>
    </row>
    <row r="35" spans="1:16" s="249" customFormat="1" ht="12" x14ac:dyDescent="0.25">
      <c r="A35" s="328"/>
      <c r="B35" s="316">
        <f>B34</f>
        <v>0</v>
      </c>
      <c r="C35" s="316">
        <f t="shared" ref="C35:O35" si="13">B35+C34</f>
        <v>0</v>
      </c>
      <c r="D35" s="316">
        <f t="shared" si="13"/>
        <v>0</v>
      </c>
      <c r="E35" s="316">
        <f t="shared" si="13"/>
        <v>0</v>
      </c>
      <c r="F35" s="316">
        <f t="shared" si="13"/>
        <v>0</v>
      </c>
      <c r="G35" s="316">
        <f t="shared" si="13"/>
        <v>0</v>
      </c>
      <c r="H35" s="316">
        <f t="shared" si="13"/>
        <v>0</v>
      </c>
      <c r="I35" s="316">
        <f t="shared" si="13"/>
        <v>0</v>
      </c>
      <c r="J35" s="316">
        <f t="shared" si="13"/>
        <v>0</v>
      </c>
      <c r="K35" s="316">
        <f t="shared" si="13"/>
        <v>0</v>
      </c>
      <c r="L35" s="316">
        <f t="shared" si="13"/>
        <v>0</v>
      </c>
      <c r="M35" s="316">
        <f t="shared" si="13"/>
        <v>0</v>
      </c>
      <c r="N35" s="316">
        <f t="shared" si="13"/>
        <v>0</v>
      </c>
      <c r="O35" s="316">
        <f t="shared" si="13"/>
        <v>0</v>
      </c>
      <c r="P35" s="329"/>
    </row>
    <row r="36" spans="1:16" s="249" customFormat="1" ht="12" outlineLevel="1" x14ac:dyDescent="0.25">
      <c r="A36" s="331" t="s">
        <v>215</v>
      </c>
      <c r="B36" s="331">
        <f t="shared" ref="B36:O36" si="14">B37</f>
        <v>0</v>
      </c>
      <c r="C36" s="331">
        <f t="shared" si="14"/>
        <v>0</v>
      </c>
      <c r="D36" s="331">
        <f t="shared" si="14"/>
        <v>0</v>
      </c>
      <c r="E36" s="331">
        <f t="shared" si="14"/>
        <v>0</v>
      </c>
      <c r="F36" s="331">
        <f t="shared" si="14"/>
        <v>0</v>
      </c>
      <c r="G36" s="331">
        <f t="shared" si="14"/>
        <v>0</v>
      </c>
      <c r="H36" s="331">
        <f t="shared" si="14"/>
        <v>0</v>
      </c>
      <c r="I36" s="331">
        <f t="shared" si="14"/>
        <v>0</v>
      </c>
      <c r="J36" s="331">
        <f t="shared" si="14"/>
        <v>0</v>
      </c>
      <c r="K36" s="331">
        <f t="shared" si="14"/>
        <v>0</v>
      </c>
      <c r="L36" s="331">
        <f t="shared" si="14"/>
        <v>0</v>
      </c>
      <c r="M36" s="331">
        <f t="shared" si="14"/>
        <v>0</v>
      </c>
      <c r="N36" s="331">
        <f t="shared" si="14"/>
        <v>0</v>
      </c>
      <c r="O36" s="331">
        <f t="shared" si="14"/>
        <v>0</v>
      </c>
      <c r="P36" s="331">
        <f t="shared" si="6"/>
        <v>0</v>
      </c>
    </row>
    <row r="37" spans="1:16" s="249" customFormat="1" ht="12" outlineLevel="1" x14ac:dyDescent="0.25">
      <c r="A37" s="333" t="s">
        <v>216</v>
      </c>
      <c r="B37" s="329"/>
      <c r="C37" s="329"/>
      <c r="D37" s="329"/>
      <c r="E37" s="329"/>
      <c r="F37" s="329"/>
      <c r="G37" s="329"/>
      <c r="H37" s="329"/>
      <c r="I37" s="329"/>
      <c r="J37" s="329">
        <f>+('Cebada SP'!B84*'Cebada SP'!B3)*0.165</f>
        <v>0</v>
      </c>
      <c r="K37" s="329">
        <f>+('Cebada SP'!B3*'Cebada SP'!B84)*0.172</f>
        <v>0</v>
      </c>
      <c r="L37" s="329">
        <f>+('Cebada SP'!B84*'Cebada SP'!B3)*0.663</f>
        <v>0</v>
      </c>
      <c r="M37" s="329"/>
      <c r="N37" s="329"/>
      <c r="O37" s="329"/>
      <c r="P37" s="329">
        <f t="shared" si="6"/>
        <v>0</v>
      </c>
    </row>
    <row r="38" spans="1:16" s="249" customFormat="1" ht="12" outlineLevel="1" x14ac:dyDescent="0.25">
      <c r="A38" s="335" t="s">
        <v>217</v>
      </c>
      <c r="B38" s="335">
        <f t="shared" ref="B38:O38" si="15">SUM(B39:B46)</f>
        <v>0</v>
      </c>
      <c r="C38" s="335">
        <f t="shared" si="15"/>
        <v>0</v>
      </c>
      <c r="D38" s="335">
        <f t="shared" si="15"/>
        <v>0</v>
      </c>
      <c r="E38" s="335">
        <f t="shared" si="15"/>
        <v>0</v>
      </c>
      <c r="F38" s="335">
        <f t="shared" si="15"/>
        <v>0</v>
      </c>
      <c r="G38" s="335">
        <f t="shared" si="15"/>
        <v>0</v>
      </c>
      <c r="H38" s="335">
        <f t="shared" si="15"/>
        <v>0</v>
      </c>
      <c r="I38" s="335">
        <f t="shared" si="15"/>
        <v>0</v>
      </c>
      <c r="J38" s="335">
        <f t="shared" si="15"/>
        <v>0</v>
      </c>
      <c r="K38" s="335">
        <f t="shared" si="15"/>
        <v>0</v>
      </c>
      <c r="L38" s="335">
        <f t="shared" si="15"/>
        <v>0</v>
      </c>
      <c r="M38" s="335">
        <f t="shared" si="15"/>
        <v>0</v>
      </c>
      <c r="N38" s="335">
        <f t="shared" si="15"/>
        <v>0</v>
      </c>
      <c r="O38" s="335">
        <f t="shared" si="15"/>
        <v>0</v>
      </c>
      <c r="P38" s="335">
        <f t="shared" si="6"/>
        <v>0</v>
      </c>
    </row>
    <row r="39" spans="1:16" s="249" customFormat="1" ht="12" outlineLevel="1" x14ac:dyDescent="0.25">
      <c r="A39" s="333" t="s">
        <v>206</v>
      </c>
      <c r="B39" s="329">
        <f>+'[2]Alquileres por campo'!$D$58+'[2]Alquileres por campo'!$E$58</f>
        <v>0</v>
      </c>
      <c r="C39" s="329">
        <f>+'[2]Alquileres por campo'!F58</f>
        <v>0</v>
      </c>
      <c r="D39" s="329">
        <f>+'[2]Alquileres por campo'!G58</f>
        <v>0</v>
      </c>
      <c r="E39" s="329">
        <f>+'[2]Alquileres por campo'!H58</f>
        <v>0</v>
      </c>
      <c r="F39" s="329">
        <f>+'[2]Alquileres por campo'!I58</f>
        <v>0</v>
      </c>
      <c r="G39" s="329">
        <f>+'[2]Alquileres por campo'!J58</f>
        <v>0</v>
      </c>
      <c r="H39" s="329">
        <f>+'[2]Alquileres por campo'!K58</f>
        <v>0</v>
      </c>
      <c r="I39" s="329">
        <f>+'[2]Alquileres por campo'!L58</f>
        <v>0</v>
      </c>
      <c r="J39" s="329">
        <f>+'[2]Alquileres por campo'!M58</f>
        <v>0</v>
      </c>
      <c r="K39" s="329">
        <f>+'[2]Alquileres por campo'!N58</f>
        <v>0</v>
      </c>
      <c r="L39" s="329">
        <f>+'[2]Alquileres por campo'!O58</f>
        <v>0</v>
      </c>
      <c r="M39" s="329">
        <f>+'[2]Alquileres por campo'!P58</f>
        <v>0</v>
      </c>
      <c r="N39" s="329">
        <f>+'[2]Alquileres por campo'!Q58</f>
        <v>0</v>
      </c>
      <c r="O39" s="329">
        <f>+'[2]Alquileres por campo'!R58</f>
        <v>0</v>
      </c>
      <c r="P39" s="354">
        <f t="shared" si="6"/>
        <v>0</v>
      </c>
    </row>
    <row r="40" spans="1:16" s="249" customFormat="1" ht="12" outlineLevel="1" x14ac:dyDescent="0.25">
      <c r="A40" s="333" t="s">
        <v>204</v>
      </c>
      <c r="B40" s="329">
        <f>((SUMIF('Cebada SP'!J8:J20,"MAYO",'Cebada SP'!E8:E20)*'Cebada SP'!B3)+(SUMIF('Cebada SS '!J8:J19,"MAYO",'Cebada SS '!E8:E19)*'Cebada SS '!B3))/9*'Tipo de Cambio Proyectado'!B2</f>
        <v>0</v>
      </c>
      <c r="C40" s="329">
        <f>(SUMIF('Cebada SP'!J8:J20,"JUNIO",'Cebada SP'!E8:E20)*'Cebada SP'!B3)+(SUMIF('Cebada SS '!J8:J19,"JUNIO",'Cebada SS '!E8:E19)*'Cebada SS '!B3)</f>
        <v>0</v>
      </c>
      <c r="D40" s="329">
        <f>((SUMIF('Cebada SP'!J8:J20,"JULIO",'Cebada SP'!E8:E20)*'Cebada SP'!B3)+(SUMIF('Cebada SS '!J8:J19,"JULIO",'Cebada SS '!E8:E19)*'Cebada SS '!B3))/9*'Tipo de Cambio Proyectado'!B4</f>
        <v>0</v>
      </c>
      <c r="E40" s="329">
        <f>((SUMIF('Cebada SP'!J8:J20,"AGOSTO",'Cebada SP'!E8:E20)*'Cebada SP'!B3)+(SUMIF('Cebada SS '!J8:J19,"AGOSTO",'Cebada SS '!E8:E19)*'Cebada SS '!B3))/9*'Tipo de Cambio Proyectado'!B5</f>
        <v>0</v>
      </c>
      <c r="F40" s="329">
        <f>(SUMIF('Cebada SP'!J8:J20,"SEPTIEMBRE",'Cebada SP'!E8:E20)*'Cebada SP'!B3)+(SUMIF('Cebada SS '!J8:J19,"SEPTIEMBRE",'Cebada SS '!E8:E19)*'Cebada SS '!B3)</f>
        <v>0</v>
      </c>
      <c r="G40" s="329">
        <f>(SUMIF('Cebada SP'!J8:J20,"OCTUBRE",'Cebada SP'!E8:E20)*'Cebada SP'!B3)+(SUMIF('Cebada SS '!J8:J19,"OCTUBRE",'Cebada SS '!E8:E19)*'Cebada SS '!B3)</f>
        <v>0</v>
      </c>
      <c r="H40" s="329">
        <f>((SUMIF('Cebada SP'!J8:J20,"NOVIEMBRE",'Cebada SP'!E8:E20)*'Cebada SP'!B3)+(SUMIF('Cebada SS '!J8:J19,"NOVIEMBRE",'Cebada SS '!E8:E19)*'Cebada SS '!B3))/9*'Tipo de Cambio Proyectado'!B8</f>
        <v>0</v>
      </c>
      <c r="I40" s="329">
        <f>(SUMIF('Cebada SP'!J8:J20,"DICIEMBRE",'Cebada SP'!E8:E20)*'Cebada SP'!B3)+(SUMIF('Cebada SS '!J8:J19,"DICIEMBRE",'Cebada SS '!E8:E19)*'Cebada SS '!B3)</f>
        <v>0</v>
      </c>
      <c r="J40" s="329">
        <f>(SUMIF('Cebada SP'!J8:J20,"ENERO",'Cebada SP'!E8:E20)*'Cebada SP'!B3)+(SUMIF('Cebada SS '!J8:J19,"ENERO",'Cebada SS '!E8:E19)*'Cebada SS '!B3)</f>
        <v>0</v>
      </c>
      <c r="K40" s="329">
        <f>(SUMIF('Cebada SP'!J8:J20,"FEBRERO",'Cebada SP'!E8:E20)*'Cebada SP'!B3)+(SUMIF('Cebada SS '!J8:J19,"FEBRERO",'Cebada SS '!E8:E19)*'Cebada SS '!B3)</f>
        <v>0</v>
      </c>
      <c r="L40" s="329">
        <f>(SUMIF('Cebada SP'!J8:J20,"MARZO",'Cebada SP'!E8:E20)*'Cebada SP'!B3)+(SUMIF('Cebada SS '!J8:J19,"MARZO",'Cebada SS '!E8:E19)*'Cebada SS '!B3)</f>
        <v>0</v>
      </c>
      <c r="M40" s="329">
        <f>(SUMIF('Cebada SP'!J8:J20,"ABRIL",'Cebada SP'!E8:E20)*'Cebada SP'!B3)+(SUMIF('Cebada SS '!J8:J19,"ABRIL",'Cebada SS '!E8:E19)*'Cebada SS '!B3)</f>
        <v>0</v>
      </c>
      <c r="N40" s="329"/>
      <c r="O40" s="329"/>
      <c r="P40" s="329">
        <f>SUM(B40:O40)</f>
        <v>0</v>
      </c>
    </row>
    <row r="41" spans="1:16" s="249" customFormat="1" ht="12" outlineLevel="1" x14ac:dyDescent="0.25">
      <c r="A41" s="333" t="s">
        <v>218</v>
      </c>
      <c r="B41" s="329">
        <f>('Cebada SP'!B3*(SUMIF('Cebada SP'!J38:J50,"MAYO",'Cebada SP'!E38:E50)))+('Cebada SS '!B3*(SUMIF('Cebada SS '!J37:J48,"MAYO",'Cebada SS '!E37:E48)))</f>
        <v>0</v>
      </c>
      <c r="C41" s="329">
        <f>('Cebada SP'!B3*(SUMIF('Cebada SP'!J38:J50,"JUNIO",'Cebada SP'!E38:E50)))+('Cebada SS '!B3*(SUMIF('Cebada SS '!J37:J48,"JUNIO",'Cebada SS '!E37:E48)))</f>
        <v>0</v>
      </c>
      <c r="D41" s="329">
        <f>('Cebada SP'!B3*(SUMIF('Cebada SP'!J38:J50,"JULIO",'Cebada SP'!E38:E50)))+('Cebada SS '!B3*(SUMIF('Cebada SS '!J37:J48,"JULIO",'Cebada SS '!E37:E48)))</f>
        <v>0</v>
      </c>
      <c r="E41" s="329">
        <f>('Cebada SP'!B3*(SUMIF('Cebada SP'!J38:J50,"AGOSTO",'Cebada SP'!E38:E50)))+('Cebada SS '!B3*(SUMIF('Cebada SS '!J37:J48,"AGOSTO",'Cebada SS '!E37:E48)))</f>
        <v>0</v>
      </c>
      <c r="F41" s="329">
        <f>('Cebada SP'!B3*(SUMIF('Cebada SP'!J38:J50,"SEPTIEMBRE",'Cebada SP'!E38:E50)))+('Cebada SS '!B3*(SUMIF('Cebada SS '!J37:J48,"SEPTIEMBRE",'Cebada SS '!E37:E48)))</f>
        <v>0</v>
      </c>
      <c r="G41" s="329">
        <f>('Cebada SP'!B3*(SUMIF('Cebada SP'!J38:J50,"OCTUBRE",'Cebada SP'!E38:E50)))+('Cebada SS '!B3*(SUMIF('Cebada SS '!J37:J48,"OCTUBRE",'Cebada SS '!E37:E48)))</f>
        <v>0</v>
      </c>
      <c r="H41" s="329">
        <f>('Cebada SP'!B3*(SUMIF('Cebada SP'!J38:J50,"NOVIEMBRE",'Cebada SP'!E38:E50)))+('Cebada SS '!B3*(SUMIF('Cebada SS '!J37:J48,"NOVIEMBRE",'Cebada SS '!E37:E48)))</f>
        <v>0</v>
      </c>
      <c r="I41" s="329">
        <f>('Cebada SP'!B3*(SUMIF('Cebada SP'!J38:J50,"DICIEMBRE",'Cebada SP'!E38:E50)))+('Cebada SS '!B3*(SUMIF('Cebada SS '!J37:J48,"DICIEMBRE",'Cebada SS '!E37:E48)))</f>
        <v>0</v>
      </c>
      <c r="J41" s="329">
        <f>('Cebada SP'!B3*(SUMIF('Cebada SP'!J38:J50,"ENERO",'Cebada SP'!E38:E50)))+('Cebada SS '!B3*(SUMIF('Cebada SS '!J37:J48,"ENERO",'Cebada SS '!E37:E48)))</f>
        <v>0</v>
      </c>
      <c r="K41" s="329">
        <f>('Cebada SP'!B3*(SUMIF('Cebada SP'!J38:J50,"FEBRERO",'Cebada SP'!E38:E50)))+('Cebada SS '!B3*(SUMIF('Cebada SS '!J37:J48,"FEBRERO",'Cebada SS '!E37:E48)))</f>
        <v>0</v>
      </c>
      <c r="L41" s="329">
        <f>('Cebada SP'!B3*(SUMIF('Cebada SP'!J38:J50,"MARZO",'Cebada SP'!E38:E50)))+('Cebada SS '!B3*(SUMIF('Cebada SS '!J37:J48,"MARZO",'Cebada SS '!E37:E48)))</f>
        <v>0</v>
      </c>
      <c r="M41" s="329"/>
      <c r="N41" s="329"/>
      <c r="O41" s="329"/>
      <c r="P41" s="329">
        <f t="shared" si="6"/>
        <v>0</v>
      </c>
    </row>
    <row r="42" spans="1:16" s="249" customFormat="1" ht="12" outlineLevel="1" x14ac:dyDescent="0.25">
      <c r="A42" s="333" t="s">
        <v>219</v>
      </c>
      <c r="B42" s="329"/>
      <c r="C42" s="329"/>
      <c r="D42" s="329"/>
      <c r="E42" s="329"/>
      <c r="F42" s="329"/>
      <c r="G42" s="329"/>
      <c r="H42" s="329"/>
      <c r="I42" s="249">
        <f>+'Cebada SP'!H33</f>
        <v>0</v>
      </c>
      <c r="J42" s="329">
        <f>+'Cebada SP'!H34</f>
        <v>0</v>
      </c>
      <c r="K42" s="329"/>
      <c r="L42" s="329"/>
      <c r="M42" s="329"/>
      <c r="N42" s="329"/>
      <c r="O42" s="329"/>
      <c r="P42" s="329">
        <f t="shared" si="6"/>
        <v>0</v>
      </c>
    </row>
    <row r="43" spans="1:16" s="249" customFormat="1" ht="12" outlineLevel="1" x14ac:dyDescent="0.25">
      <c r="A43" s="333" t="s">
        <v>205</v>
      </c>
      <c r="B43" s="329"/>
      <c r="C43" s="329"/>
      <c r="D43" s="329"/>
      <c r="E43" s="329"/>
      <c r="F43" s="329"/>
      <c r="G43" s="329"/>
      <c r="H43" s="329"/>
      <c r="I43" s="329"/>
      <c r="J43" s="329">
        <f>('Cebada SP'!B3*'Cebada SP'!E23)+('Cebada SS '!E22*'Cebada SS '!B3)</f>
        <v>0</v>
      </c>
      <c r="K43" s="329"/>
      <c r="L43" s="329"/>
      <c r="M43" s="329"/>
      <c r="N43" s="329"/>
      <c r="O43" s="329"/>
      <c r="P43" s="329">
        <f t="shared" si="6"/>
        <v>0</v>
      </c>
    </row>
    <row r="44" spans="1:16" s="249" customFormat="1" ht="12" outlineLevel="1" x14ac:dyDescent="0.25">
      <c r="A44" s="333" t="s">
        <v>220</v>
      </c>
      <c r="B44" s="329"/>
      <c r="C44" s="329"/>
      <c r="D44" s="329"/>
      <c r="E44" s="329"/>
      <c r="F44" s="329"/>
      <c r="G44" s="329"/>
      <c r="H44" s="329"/>
      <c r="I44" s="329"/>
      <c r="J44" s="329">
        <f>'Cebada SP'!D53*'Cebada SP'!B3+'Cebada SP'!E73*'Cebada SP'!B3</f>
        <v>0</v>
      </c>
      <c r="K44" s="329"/>
      <c r="L44" s="329"/>
      <c r="M44" s="329"/>
      <c r="N44" s="329"/>
      <c r="O44" s="329"/>
      <c r="P44" s="329">
        <f t="shared" si="6"/>
        <v>0</v>
      </c>
    </row>
    <row r="45" spans="1:16" s="249" customFormat="1" ht="12" outlineLevel="1" x14ac:dyDescent="0.25">
      <c r="A45" s="333" t="s">
        <v>207</v>
      </c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>
        <f t="shared" si="6"/>
        <v>0</v>
      </c>
    </row>
    <row r="46" spans="1:16" s="249" customFormat="1" ht="12" outlineLevel="1" x14ac:dyDescent="0.25">
      <c r="A46" s="333" t="s">
        <v>221</v>
      </c>
      <c r="B46" s="329"/>
      <c r="C46" s="329"/>
      <c r="D46" s="329"/>
      <c r="E46" s="329"/>
      <c r="F46" s="329"/>
      <c r="G46" s="329"/>
      <c r="H46" s="329"/>
      <c r="I46" s="329"/>
      <c r="J46" s="329"/>
      <c r="K46" s="329">
        <f>('Cebada SP'!B3*'Cebada SP'!E57)+('Cebada SS '!B3*'Cebada SS '!E65)</f>
        <v>0</v>
      </c>
      <c r="L46" s="329"/>
      <c r="M46" s="329"/>
      <c r="N46" s="329"/>
      <c r="O46" s="329"/>
      <c r="P46" s="329">
        <f t="shared" si="6"/>
        <v>0</v>
      </c>
    </row>
    <row r="47" spans="1:16" s="261" customFormat="1" ht="13.8" x14ac:dyDescent="0.3">
      <c r="A47" s="328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</row>
    <row r="48" spans="1:16" s="261" customFormat="1" ht="13.8" x14ac:dyDescent="0.3">
      <c r="A48" s="328" t="s">
        <v>224</v>
      </c>
      <c r="B48" s="329">
        <f>B50-B52</f>
        <v>0</v>
      </c>
      <c r="C48" s="329">
        <f t="shared" ref="C48:O48" si="16">C50-C52</f>
        <v>0</v>
      </c>
      <c r="D48" s="329">
        <f t="shared" si="16"/>
        <v>0</v>
      </c>
      <c r="E48" s="329">
        <f t="shared" si="16"/>
        <v>0</v>
      </c>
      <c r="F48" s="329">
        <f t="shared" si="16"/>
        <v>0</v>
      </c>
      <c r="G48" s="329">
        <f t="shared" si="16"/>
        <v>0</v>
      </c>
      <c r="H48" s="329">
        <f t="shared" si="16"/>
        <v>0</v>
      </c>
      <c r="I48" s="329">
        <f t="shared" si="16"/>
        <v>0</v>
      </c>
      <c r="J48" s="329">
        <f t="shared" si="16"/>
        <v>0</v>
      </c>
      <c r="K48" s="329">
        <f t="shared" si="16"/>
        <v>0</v>
      </c>
      <c r="L48" s="329">
        <f t="shared" si="16"/>
        <v>0</v>
      </c>
      <c r="M48" s="329">
        <f t="shared" si="16"/>
        <v>0</v>
      </c>
      <c r="N48" s="329">
        <f t="shared" si="16"/>
        <v>0</v>
      </c>
      <c r="O48" s="329">
        <f t="shared" si="16"/>
        <v>0</v>
      </c>
      <c r="P48" s="329">
        <f t="shared" si="6"/>
        <v>0</v>
      </c>
    </row>
    <row r="49" spans="1:16" s="249" customFormat="1" ht="12" x14ac:dyDescent="0.25">
      <c r="A49" s="328"/>
      <c r="B49" s="329">
        <f>B48</f>
        <v>0</v>
      </c>
      <c r="C49" s="329">
        <f>B49+C48</f>
        <v>0</v>
      </c>
      <c r="D49" s="329">
        <f t="shared" ref="D49:O49" si="17">C49+D48</f>
        <v>0</v>
      </c>
      <c r="E49" s="329">
        <f t="shared" si="17"/>
        <v>0</v>
      </c>
      <c r="F49" s="329">
        <f t="shared" si="17"/>
        <v>0</v>
      </c>
      <c r="G49" s="329">
        <f t="shared" si="17"/>
        <v>0</v>
      </c>
      <c r="H49" s="329">
        <f t="shared" si="17"/>
        <v>0</v>
      </c>
      <c r="I49" s="329">
        <f t="shared" si="17"/>
        <v>0</v>
      </c>
      <c r="J49" s="329">
        <f t="shared" si="17"/>
        <v>0</v>
      </c>
      <c r="K49" s="329">
        <f t="shared" si="17"/>
        <v>0</v>
      </c>
      <c r="L49" s="329">
        <f t="shared" si="17"/>
        <v>0</v>
      </c>
      <c r="M49" s="329">
        <f t="shared" si="17"/>
        <v>0</v>
      </c>
      <c r="N49" s="329">
        <f t="shared" si="17"/>
        <v>0</v>
      </c>
      <c r="O49" s="329">
        <f t="shared" si="17"/>
        <v>0</v>
      </c>
      <c r="P49" s="329"/>
    </row>
    <row r="50" spans="1:16" s="249" customFormat="1" ht="12" outlineLevel="1" x14ac:dyDescent="0.25">
      <c r="A50" s="331" t="s">
        <v>215</v>
      </c>
      <c r="B50" s="331">
        <f t="shared" ref="B50:O50" si="18">B51</f>
        <v>0</v>
      </c>
      <c r="C50" s="331">
        <f t="shared" si="18"/>
        <v>0</v>
      </c>
      <c r="D50" s="331">
        <f t="shared" si="18"/>
        <v>0</v>
      </c>
      <c r="E50" s="331">
        <f t="shared" si="18"/>
        <v>0</v>
      </c>
      <c r="F50" s="331">
        <f t="shared" si="18"/>
        <v>0</v>
      </c>
      <c r="G50" s="331">
        <f t="shared" si="18"/>
        <v>0</v>
      </c>
      <c r="H50" s="331">
        <f t="shared" si="18"/>
        <v>0</v>
      </c>
      <c r="I50" s="331">
        <f t="shared" si="18"/>
        <v>0</v>
      </c>
      <c r="J50" s="331">
        <f t="shared" si="18"/>
        <v>0</v>
      </c>
      <c r="K50" s="331">
        <f t="shared" si="18"/>
        <v>0</v>
      </c>
      <c r="L50" s="331">
        <f t="shared" si="18"/>
        <v>0</v>
      </c>
      <c r="M50" s="331">
        <f t="shared" si="18"/>
        <v>0</v>
      </c>
      <c r="N50" s="331">
        <f t="shared" si="18"/>
        <v>0</v>
      </c>
      <c r="O50" s="331">
        <f t="shared" si="18"/>
        <v>0</v>
      </c>
      <c r="P50" s="331">
        <f t="shared" si="6"/>
        <v>0</v>
      </c>
    </row>
    <row r="51" spans="1:16" s="249" customFormat="1" ht="12" outlineLevel="1" x14ac:dyDescent="0.25">
      <c r="A51" s="333" t="s">
        <v>216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>
        <f>'Soja 2da. C'!B77*'Soja 2da. C'!B3</f>
        <v>0</v>
      </c>
      <c r="P51" s="329">
        <f t="shared" si="6"/>
        <v>0</v>
      </c>
    </row>
    <row r="52" spans="1:16" s="249" customFormat="1" ht="12" outlineLevel="1" x14ac:dyDescent="0.25">
      <c r="A52" s="335" t="s">
        <v>217</v>
      </c>
      <c r="B52" s="335">
        <f t="shared" ref="B52:O52" si="19">SUM(B53:B59)</f>
        <v>0</v>
      </c>
      <c r="C52" s="335">
        <f t="shared" si="19"/>
        <v>0</v>
      </c>
      <c r="D52" s="335">
        <f t="shared" si="19"/>
        <v>0</v>
      </c>
      <c r="E52" s="335">
        <f t="shared" si="19"/>
        <v>0</v>
      </c>
      <c r="F52" s="335">
        <f t="shared" si="19"/>
        <v>0</v>
      </c>
      <c r="G52" s="335">
        <f t="shared" si="19"/>
        <v>0</v>
      </c>
      <c r="H52" s="335">
        <f t="shared" si="19"/>
        <v>0</v>
      </c>
      <c r="I52" s="335">
        <f t="shared" si="19"/>
        <v>0</v>
      </c>
      <c r="J52" s="335">
        <f t="shared" si="19"/>
        <v>0</v>
      </c>
      <c r="K52" s="335">
        <f t="shared" si="19"/>
        <v>0</v>
      </c>
      <c r="L52" s="335">
        <f t="shared" si="19"/>
        <v>0</v>
      </c>
      <c r="M52" s="335">
        <f t="shared" si="19"/>
        <v>0</v>
      </c>
      <c r="N52" s="335">
        <f t="shared" si="19"/>
        <v>0</v>
      </c>
      <c r="O52" s="335">
        <f t="shared" si="19"/>
        <v>0</v>
      </c>
      <c r="P52" s="335">
        <f t="shared" si="6"/>
        <v>0</v>
      </c>
    </row>
    <row r="53" spans="1:16" s="249" customFormat="1" ht="12" outlineLevel="1" x14ac:dyDescent="0.25">
      <c r="A53" s="333" t="s">
        <v>206</v>
      </c>
      <c r="B53" s="329">
        <f>'Resumen Proy'!C59*'Resumen Proy'!B9*'Resumen Proy'!G56*0</f>
        <v>0</v>
      </c>
      <c r="C53" s="329"/>
      <c r="D53" s="329"/>
      <c r="E53" s="329"/>
      <c r="F53" s="329"/>
      <c r="G53" s="329"/>
      <c r="H53" s="329"/>
      <c r="I53" s="329"/>
      <c r="J53" s="329">
        <f>'Resumen Proy'!B8*'Resumen Proy'!C59*'Resumen Proy'!I56*0</f>
        <v>0</v>
      </c>
      <c r="K53" s="329"/>
      <c r="L53" s="329">
        <f>'Resumen Proy'!B8*'Resumen Proy'!C59*'Resumen Proy'!J56*0</f>
        <v>0</v>
      </c>
      <c r="M53" s="329"/>
      <c r="N53" s="329">
        <f>'Resumen Proy'!B8*'Resumen Proy'!C59*'Resumen Proy'!K56*0</f>
        <v>0</v>
      </c>
      <c r="O53" s="329"/>
      <c r="P53" s="329">
        <f t="shared" si="6"/>
        <v>0</v>
      </c>
    </row>
    <row r="54" spans="1:16" s="249" customFormat="1" ht="12" outlineLevel="1" x14ac:dyDescent="0.25">
      <c r="A54" s="333" t="s">
        <v>204</v>
      </c>
      <c r="B54" s="329"/>
      <c r="C54" s="329"/>
      <c r="D54" s="329">
        <f>(SUMIF('Soja 2da. C'!J7:J17,"JULIO",'Soja 2da. C'!E7:E17))*'Soja 2da. C'!B3</f>
        <v>0</v>
      </c>
      <c r="E54" s="329">
        <f>(SUMIF('Soja 2da. C'!J7:J17,"AGOSTO",'Soja 2da. C'!E7:E17))*'Soja 2da. C'!B3</f>
        <v>0</v>
      </c>
      <c r="F54" s="329">
        <f>(SUMIF('Soja 2da. C'!J7:J17,"SEPTIEMBRE",'Soja 2da. C'!E7:E17))*'Soja 2da. C'!B3</f>
        <v>0</v>
      </c>
      <c r="G54" s="329">
        <f>(SUMIF('Soja 2da. C'!J7:J17,"OCTUBRE",'Soja 2da. C'!E7:E17))*'Soja 2da. C'!B3</f>
        <v>0</v>
      </c>
      <c r="H54" s="329">
        <f>(SUMIF('Soja 2da. C'!J7:J17,"NOVIEMBRE",'Soja 2da. C'!E7:E17))*'Soja 2da. C'!B3</f>
        <v>0</v>
      </c>
      <c r="I54" s="329">
        <f>(SUMIF('Soja 2da. C'!J7:J17,"DICIEMBRE",'Soja 2da. C'!E7:E17))*'Soja 2da. C'!B3</f>
        <v>0</v>
      </c>
      <c r="J54" s="329">
        <f>((SUMIF('Soja 2da. C'!J7:J17,"ENERO",'Soja 2da. C'!E7:E17))*'Soja 2da. C'!B3)</f>
        <v>0</v>
      </c>
      <c r="K54" s="329">
        <f>(SUMIF('Soja 2da. C'!J7:J17,"FEBRERO",'Soja 2da. C'!E7:E17))*'Soja 2da. C'!B3</f>
        <v>0</v>
      </c>
      <c r="L54" s="329">
        <f>((SUMIF('Soja 2da. C'!J7:J17,"MARZO",'Soja 2da. C'!E7:E17))*'Soja 2da. C'!B3)</f>
        <v>0</v>
      </c>
      <c r="M54" s="329">
        <f>(SUMIF('Soja 2da. C'!J7:J17,"ABRIL",'Soja 2da. C'!E7:E17))*'Soja 2da. C'!B3</f>
        <v>0</v>
      </c>
      <c r="N54" s="329">
        <f>(SUMIF('Soja 2da. C'!J7:J17,"MAYO",'Soja 2da. C'!E7:E17))*'Soja 2da. C'!B3</f>
        <v>0</v>
      </c>
      <c r="O54" s="329">
        <f>(SUMIF('Soja 2da. C'!J7:J17,"JUNIO",'Soja 2da. C'!E7:E17))*'Soja 2da. C'!B3</f>
        <v>0</v>
      </c>
      <c r="P54" s="329">
        <f t="shared" si="6"/>
        <v>0</v>
      </c>
    </row>
    <row r="55" spans="1:16" s="249" customFormat="1" ht="12" outlineLevel="1" x14ac:dyDescent="0.25">
      <c r="A55" s="333" t="s">
        <v>218</v>
      </c>
      <c r="B55" s="329"/>
      <c r="C55" s="329"/>
      <c r="D55" s="329">
        <f>(SUMIF('Soja 2da. C'!J36:J45,"JULIO",'Soja 2da. C'!E36:E45)*'Soja 2da. C'!B3)</f>
        <v>0</v>
      </c>
      <c r="E55" s="329">
        <f>(SUMIF('Soja 2da. C'!J36:J45,"AGOSTO",'Soja 2da. C'!E36:E45)*'Soja 2da. C'!B3)</f>
        <v>0</v>
      </c>
      <c r="F55" s="329">
        <f>(SUMIF('Soja 2da. C'!J36:J45,"SEPTIEMBRE",'Soja 2da. C'!E36:E45)*'Soja 2da. C'!B3)</f>
        <v>0</v>
      </c>
      <c r="G55" s="329">
        <f>(SUMIF('Soja 2da. C'!J36:J45,"OCTUBRE",'Soja 2da. C'!E36:E45)*'Soja 2da. C'!B3)</f>
        <v>0</v>
      </c>
      <c r="H55" s="329">
        <f>(SUMIF('Soja 2da. C'!J36:J45,"NOVIEMBRE",'Soja 2da. C'!E36:E45)*'Soja 2da. C'!B3)</f>
        <v>0</v>
      </c>
      <c r="I55" s="329">
        <f>(SUMIF('Soja 2da. C'!J36:J45,"DICIEMBRE",'Soja 2da. C'!E36:E45)*'Soja 2da. C'!B3)</f>
        <v>0</v>
      </c>
      <c r="J55" s="329">
        <f>(SUMIF('Soja 2da. C'!J36:J45,"ENERO",'Soja 2da. C'!E36:E45)*'Soja 2da. C'!B3)+('Soja 2da. C'!B3*SUMIF('Soja 2da. C'!J36:J45,"ENERO/MARZO",'Soja 2da. C'!E36:E45)*0.5)</f>
        <v>0</v>
      </c>
      <c r="K55" s="329">
        <f>(SUMIF('Soja 2da. C'!J36:J45,"FEBRERO",'Soja 2da. C'!E36:E45)*'Soja 2da. C'!B3)</f>
        <v>0</v>
      </c>
      <c r="L55" s="329">
        <f>(SUMIF('Soja 2da. C'!J36:J45,"MARZO",'Soja 2da. C'!E36:E45)*'Soja 2da. C'!B3)+('Soja 2da. C'!B3*SUMIF('Soja 2da. C'!J36:J45,"ENERO/MARZO",'Soja 2da. C'!E36:E45)*0.5)</f>
        <v>0</v>
      </c>
      <c r="M55" s="329">
        <f>(SUMIF('Soja 2da. C'!J36:J45,"ABRIL",'Soja 2da. C'!E36:E45)*'Soja 2da. C'!B3)</f>
        <v>0</v>
      </c>
      <c r="N55" s="329">
        <f>(SUMIF('Soja 2da. C'!J36:J45,"MAYO",'Soja 2da. C'!E36:E45)*'Soja 2da. C'!B3)</f>
        <v>0</v>
      </c>
      <c r="O55" s="329">
        <f>(SUMIF('Soja 2da. C'!J36:J45,"JUNIO",'Soja 2da. C'!E36:E45)*'Soja 2da. C'!B3)</f>
        <v>0</v>
      </c>
      <c r="P55" s="329">
        <f t="shared" si="6"/>
        <v>0</v>
      </c>
    </row>
    <row r="56" spans="1:16" s="249" customFormat="1" ht="12" outlineLevel="1" x14ac:dyDescent="0.25">
      <c r="A56" s="333" t="s">
        <v>205</v>
      </c>
      <c r="B56" s="329"/>
      <c r="C56" s="329"/>
      <c r="D56" s="329"/>
      <c r="E56" s="329"/>
      <c r="F56" s="329"/>
      <c r="G56" s="329"/>
      <c r="H56" s="329"/>
      <c r="I56" s="329"/>
      <c r="J56" s="329">
        <f>'Soja 2da. C'!E22*'Soja 2da. C'!B3</f>
        <v>0</v>
      </c>
      <c r="K56" s="329"/>
      <c r="L56" s="329"/>
      <c r="M56" s="329"/>
      <c r="N56" s="329"/>
      <c r="O56" s="329"/>
      <c r="P56" s="329">
        <f t="shared" si="6"/>
        <v>0</v>
      </c>
    </row>
    <row r="57" spans="1:16" s="249" customFormat="1" ht="12" outlineLevel="1" x14ac:dyDescent="0.25">
      <c r="A57" s="333" t="s">
        <v>220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>
        <f>'Soja 2da. C'!B3*'Soja 2da. C'!D48+'Soja 2da. C'!B3*'Soja 2da. C'!E68</f>
        <v>0</v>
      </c>
      <c r="P57" s="329">
        <f t="shared" si="6"/>
        <v>0</v>
      </c>
    </row>
    <row r="58" spans="1:16" s="249" customFormat="1" ht="12" outlineLevel="1" x14ac:dyDescent="0.25">
      <c r="A58" s="333" t="s">
        <v>207</v>
      </c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>
        <f t="shared" si="6"/>
        <v>0</v>
      </c>
    </row>
    <row r="59" spans="1:16" s="249" customFormat="1" ht="12" outlineLevel="1" x14ac:dyDescent="0.25">
      <c r="A59" s="333" t="s">
        <v>221</v>
      </c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>
        <f>'Soja 2da. C'!E52*'Soja 2da. C'!B3</f>
        <v>0</v>
      </c>
      <c r="P59" s="329">
        <f t="shared" si="6"/>
        <v>0</v>
      </c>
    </row>
    <row r="60" spans="1:16" s="261" customFormat="1" ht="13.8" x14ac:dyDescent="0.3">
      <c r="A60" s="328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</row>
    <row r="61" spans="1:16" s="261" customFormat="1" ht="13.5" customHeight="1" x14ac:dyDescent="0.3">
      <c r="A61" s="328" t="s">
        <v>225</v>
      </c>
      <c r="B61" s="329">
        <f>B63-B65</f>
        <v>0</v>
      </c>
      <c r="C61" s="329">
        <f t="shared" ref="C61:O61" si="20">C63-C65</f>
        <v>0</v>
      </c>
      <c r="D61" s="329">
        <f t="shared" si="20"/>
        <v>0</v>
      </c>
      <c r="E61" s="329">
        <f t="shared" si="20"/>
        <v>0</v>
      </c>
      <c r="F61" s="329">
        <f t="shared" si="20"/>
        <v>0</v>
      </c>
      <c r="G61" s="329">
        <f t="shared" si="20"/>
        <v>0</v>
      </c>
      <c r="H61" s="329">
        <f t="shared" si="20"/>
        <v>0</v>
      </c>
      <c r="I61" s="329">
        <f t="shared" si="20"/>
        <v>0</v>
      </c>
      <c r="J61" s="329">
        <f t="shared" si="20"/>
        <v>0</v>
      </c>
      <c r="K61" s="329">
        <f t="shared" si="20"/>
        <v>0</v>
      </c>
      <c r="L61" s="329">
        <f t="shared" si="20"/>
        <v>0</v>
      </c>
      <c r="M61" s="329">
        <f t="shared" si="20"/>
        <v>0</v>
      </c>
      <c r="N61" s="329">
        <f t="shared" si="20"/>
        <v>0</v>
      </c>
      <c r="O61" s="329">
        <f t="shared" si="20"/>
        <v>0</v>
      </c>
      <c r="P61" s="329">
        <f t="shared" si="6"/>
        <v>0</v>
      </c>
    </row>
    <row r="62" spans="1:16" s="249" customFormat="1" ht="12" outlineLevel="1" x14ac:dyDescent="0.25">
      <c r="A62" s="328"/>
      <c r="B62" s="329">
        <f>B61</f>
        <v>0</v>
      </c>
      <c r="C62" s="329">
        <f t="shared" ref="C62:O62" si="21">B62+C61</f>
        <v>0</v>
      </c>
      <c r="D62" s="329">
        <f t="shared" si="21"/>
        <v>0</v>
      </c>
      <c r="E62" s="329">
        <f t="shared" si="21"/>
        <v>0</v>
      </c>
      <c r="F62" s="329">
        <f t="shared" si="21"/>
        <v>0</v>
      </c>
      <c r="G62" s="329">
        <f t="shared" si="21"/>
        <v>0</v>
      </c>
      <c r="H62" s="329">
        <f t="shared" si="21"/>
        <v>0</v>
      </c>
      <c r="I62" s="329">
        <f t="shared" si="21"/>
        <v>0</v>
      </c>
      <c r="J62" s="329">
        <f t="shared" si="21"/>
        <v>0</v>
      </c>
      <c r="K62" s="329">
        <f t="shared" si="21"/>
        <v>0</v>
      </c>
      <c r="L62" s="329">
        <f t="shared" si="21"/>
        <v>0</v>
      </c>
      <c r="M62" s="329">
        <f t="shared" si="21"/>
        <v>0</v>
      </c>
      <c r="N62" s="329">
        <f t="shared" si="21"/>
        <v>0</v>
      </c>
      <c r="O62" s="329">
        <f t="shared" si="21"/>
        <v>0</v>
      </c>
      <c r="P62" s="329">
        <f t="shared" si="6"/>
        <v>0</v>
      </c>
    </row>
    <row r="63" spans="1:16" s="249" customFormat="1" ht="12" outlineLevel="1" x14ac:dyDescent="0.25">
      <c r="A63" s="331" t="s">
        <v>215</v>
      </c>
      <c r="B63" s="331">
        <f>B64</f>
        <v>0</v>
      </c>
      <c r="C63" s="331">
        <f t="shared" ref="C63:O63" si="22">C64</f>
        <v>0</v>
      </c>
      <c r="D63" s="331">
        <f t="shared" si="22"/>
        <v>0</v>
      </c>
      <c r="E63" s="331">
        <f t="shared" si="22"/>
        <v>0</v>
      </c>
      <c r="F63" s="331">
        <f t="shared" si="22"/>
        <v>0</v>
      </c>
      <c r="G63" s="331">
        <f t="shared" si="22"/>
        <v>0</v>
      </c>
      <c r="H63" s="331">
        <f t="shared" si="22"/>
        <v>0</v>
      </c>
      <c r="I63" s="331">
        <f t="shared" si="22"/>
        <v>0</v>
      </c>
      <c r="J63" s="331">
        <f t="shared" si="22"/>
        <v>0</v>
      </c>
      <c r="K63" s="331">
        <f t="shared" si="22"/>
        <v>0</v>
      </c>
      <c r="L63" s="331">
        <f t="shared" si="22"/>
        <v>0</v>
      </c>
      <c r="M63" s="331">
        <f t="shared" si="22"/>
        <v>0</v>
      </c>
      <c r="N63" s="331">
        <f t="shared" si="22"/>
        <v>0</v>
      </c>
      <c r="O63" s="331">
        <f t="shared" si="22"/>
        <v>0</v>
      </c>
      <c r="P63" s="331">
        <f>SUM(B63:O63)</f>
        <v>0</v>
      </c>
    </row>
    <row r="64" spans="1:16" s="249" customFormat="1" ht="12" outlineLevel="1" x14ac:dyDescent="0.25">
      <c r="A64" s="333" t="s">
        <v>216</v>
      </c>
      <c r="B64" s="329"/>
      <c r="C64" s="329"/>
      <c r="D64" s="329"/>
      <c r="E64" s="329"/>
      <c r="F64" s="329"/>
      <c r="G64" s="329"/>
      <c r="H64" s="329"/>
      <c r="I64" s="329">
        <f>(('Maiz 2da'!B61*'Maiz 2da'!B3)+('Girasol 2da'!B3*'Girasol 2da'!B73))</f>
        <v>0</v>
      </c>
      <c r="J64" s="329"/>
      <c r="K64" s="329"/>
      <c r="L64" s="329"/>
      <c r="M64" s="329"/>
      <c r="N64" s="329"/>
      <c r="O64" s="329"/>
      <c r="P64" s="329">
        <f t="shared" si="6"/>
        <v>0</v>
      </c>
    </row>
    <row r="65" spans="1:16" s="249" customFormat="1" ht="12" outlineLevel="1" x14ac:dyDescent="0.25">
      <c r="A65" s="335" t="s">
        <v>217</v>
      </c>
      <c r="B65" s="335">
        <f>SUM(B66:B73)</f>
        <v>0</v>
      </c>
      <c r="C65" s="335">
        <f t="shared" ref="C65:O65" si="23">SUM(C66:C73)</f>
        <v>0</v>
      </c>
      <c r="D65" s="335">
        <f t="shared" si="23"/>
        <v>0</v>
      </c>
      <c r="E65" s="335">
        <f t="shared" si="23"/>
        <v>0</v>
      </c>
      <c r="F65" s="335">
        <f t="shared" si="23"/>
        <v>0</v>
      </c>
      <c r="G65" s="335">
        <f t="shared" si="23"/>
        <v>0</v>
      </c>
      <c r="H65" s="335">
        <f t="shared" si="23"/>
        <v>0</v>
      </c>
      <c r="I65" s="335">
        <f t="shared" si="23"/>
        <v>0</v>
      </c>
      <c r="J65" s="335">
        <f t="shared" si="23"/>
        <v>0</v>
      </c>
      <c r="K65" s="335">
        <f t="shared" si="23"/>
        <v>0</v>
      </c>
      <c r="L65" s="335">
        <f t="shared" si="23"/>
        <v>0</v>
      </c>
      <c r="M65" s="335">
        <f t="shared" si="23"/>
        <v>0</v>
      </c>
      <c r="N65" s="335">
        <f t="shared" si="23"/>
        <v>0</v>
      </c>
      <c r="O65" s="335">
        <f t="shared" si="23"/>
        <v>0</v>
      </c>
      <c r="P65" s="335">
        <f>SUM(B65:O65)</f>
        <v>0</v>
      </c>
    </row>
    <row r="66" spans="1:16" s="249" customFormat="1" ht="12" outlineLevel="1" x14ac:dyDescent="0.25">
      <c r="A66" s="333" t="s">
        <v>206</v>
      </c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54">
        <f t="shared" si="6"/>
        <v>0</v>
      </c>
    </row>
    <row r="67" spans="1:16" s="249" customFormat="1" ht="12" outlineLevel="1" x14ac:dyDescent="0.25">
      <c r="A67" s="333" t="s">
        <v>204</v>
      </c>
      <c r="B67" s="329">
        <v>0</v>
      </c>
      <c r="C67" s="329">
        <v>0</v>
      </c>
      <c r="D67" s="329">
        <f>('Maiz 2da'!B3*SUMIF('Maiz 2da'!J8:J12,"JULIO",'Maiz 2da'!E8:E12))+('Girasol 2da'!B3*SUMIF('Girasol 2da'!J8:J15,"JULIO",'Girasol 2da'!E8:E15))</f>
        <v>0</v>
      </c>
      <c r="E67" s="329">
        <v>0</v>
      </c>
      <c r="F67" s="329">
        <f>('Maiz 2da'!B3*SUMIF('Maiz 2da'!J8:J12,"SEPTIEMBRE",'Maiz 2da'!E8:E12))+('Girasol 2da'!B3*SUMIF('Girasol 2da'!J8:J15,"SEPTIEMBRE",'Girasol 2da'!E8:E15))</f>
        <v>0</v>
      </c>
      <c r="G67" s="329">
        <f>('Maiz 2da'!B3*SUMIF('Maiz 2da'!J8:J12,"OCTUBRE",'Maiz 2da'!E8:E12))+('Girasol 2da'!B3*SUMIF('Girasol 2da'!J8:J15,"OCTUBRE",'Girasol 2da'!E8:E15))</f>
        <v>0</v>
      </c>
      <c r="H67" s="329">
        <f>('Maiz 2da'!B3*SUMIF('Maiz 2da'!J8:J12,"NOVIEMBRE",'Maiz 2da'!E8:E12))+('Girasol 2da'!B3*SUMIF('Girasol 2da'!J8:J15,"NOVIEMBRE",'Girasol 2da'!E8:E15))</f>
        <v>0</v>
      </c>
      <c r="I67" s="329">
        <f>('Maiz 2da'!B3*SUMIF('Maiz 2da'!J8:J12,"DICIEMBRE",'Maiz 2da'!E8:E12))+('Girasol 2da'!B3*SUMIF('Girasol 2da'!J8:J15,"DICIEMBRE",'Girasol 2da'!E8:E15))</f>
        <v>0</v>
      </c>
      <c r="J67" s="329">
        <f>('Maiz 2da'!B3*SUMIF('Maiz 2da'!J8:J12,"ENERO",'Maiz 2da'!E8:E12))+('Girasol 2da'!B3*SUMIF('Girasol 2da'!J8:J15,"ENERO",'Girasol 2da'!E8:E15))</f>
        <v>0</v>
      </c>
      <c r="K67" s="329">
        <f>('Maiz 2da'!B3*SUMIF('Maiz 2da'!J8:J12,"FEBRERO",'Maiz 2da'!E8:E12))+('Girasol 2da'!B3*SUMIF('Girasol 2da'!J8:J15,"FEBRERO",'Girasol 2da'!E8:E15))</f>
        <v>0</v>
      </c>
      <c r="L67" s="329"/>
      <c r="M67" s="329"/>
      <c r="N67" s="329"/>
      <c r="O67" s="329"/>
      <c r="P67" s="329">
        <f t="shared" si="6"/>
        <v>0</v>
      </c>
    </row>
    <row r="68" spans="1:16" s="249" customFormat="1" ht="12" outlineLevel="1" x14ac:dyDescent="0.25">
      <c r="A68" s="333" t="s">
        <v>218</v>
      </c>
      <c r="B68" s="329">
        <f>('Maiz 2da'!B3*(SUMIF('Maiz 2da'!J30:J32,"MAYO",'Maiz 2da'!E30:E32)))+('Girasol 2da'!B3*(SUMIF('Girasol 2da'!J33:J38,"MAYO",'Girasol 2da'!E33:E38)))</f>
        <v>0</v>
      </c>
      <c r="C68" s="329">
        <f>('Maiz 2da'!B3*(SUMIF('Maiz 2da'!J30:J32,"JUNIO",'Maiz 2da'!E30:E32)))+('Girasol 2da'!B3*(SUMIF('Girasol 2da'!J33:J38,"JUNIO",'Girasol 2da'!E33:E38)))</f>
        <v>0</v>
      </c>
      <c r="D68" s="329">
        <f>('Maiz 2da'!B3*(SUMIF('Maiz 2da'!J30:J32,"JULIO",'Maiz 2da'!E30:E32)))+('Girasol 2da'!B3*(SUMIF('Girasol 2da'!J33:J38,"JULIO",'Girasol 2da'!E33:E38)))</f>
        <v>0</v>
      </c>
      <c r="E68" s="329">
        <f>('Maiz 2da'!B3*(SUMIF('Maiz 2da'!J30:J32,"AGOSTO",'Maiz 2da'!E30:E32)))+('Girasol 2da'!B3*(SUMIF('Girasol 2da'!J33:J38,"AGOSTO",'Girasol 2da'!E33:E38)))</f>
        <v>0</v>
      </c>
      <c r="F68" s="329">
        <f>('Maiz 2da'!B3*(SUMIF('Maiz 2da'!J30:J32,"SEPTIEMBRE",'Maiz 2da'!E30:E32)))+('Girasol 2da'!B3*(SUMIF('Girasol 2da'!J33:J38,"SEPTIEMBRE",'Girasol 2da'!E33:E38)))</f>
        <v>0</v>
      </c>
      <c r="G68" s="329">
        <f>('Maiz 2da'!B3*(SUMIF('Maiz 2da'!J30:J32,"OCTUBRE",'Maiz 2da'!E30:E32)))+('Girasol 2da'!B3*(SUMIF('Girasol 2da'!J33:J38,"OCTUBRE",'Girasol 2da'!E33:E38)))</f>
        <v>0</v>
      </c>
      <c r="H68" s="329">
        <f>('Maiz 2da'!B3*(SUMIF('Maiz 2da'!J30:J32,"NOVIEMBRE",'Maiz 2da'!E30:E32)))+('Girasol 2da'!B3*(SUMIF('Girasol 2da'!J33:J38,"NOVIEMBRE",'Girasol 2da'!E33:E38)))</f>
        <v>0</v>
      </c>
      <c r="I68" s="329">
        <f>('Maiz 2da'!B3*(SUMIF('Maiz 2da'!J30:J32,"DICIEMBRE",'Maiz 2da'!E30:E32)))+('Girasol 2da'!B3*(SUMIF('Girasol 2da'!J33:J38,"DICIEMBRE",'Girasol 2da'!E33:E38)))</f>
        <v>0</v>
      </c>
      <c r="J68" s="329">
        <f>('Maiz 2da'!B3*(SUMIF('Maiz 2da'!J30:J32,"ENERO",'Maiz 2da'!E30:E32)))+('Girasol 2da'!B3*(SUMIF('Girasol 2da'!J33:J38,"ENERO",'Girasol 2da'!E33:E38)))</f>
        <v>0</v>
      </c>
      <c r="K68" s="329">
        <f>('Maiz 2da'!B3*(SUMIF('Maiz 2da'!J30:J32,"FEBRERO",'Maiz 2da'!E30:E32)))+('Girasol 2da'!B3*(SUMIF('Girasol 2da'!J33:J38,"FEBRERO",'Girasol 2da'!E33:E38)))</f>
        <v>0</v>
      </c>
      <c r="L68" s="329">
        <f>('Maiz 2da'!B3*(SUMIF('Maiz 2da'!J30:J32,"MARZO",'Maiz 2da'!E30:E32)))+('Girasol 2da'!B3*(SUMIF('Girasol 2da'!J33:J38,"MARZO",'Girasol 2da'!E33:E38)))</f>
        <v>0</v>
      </c>
      <c r="M68" s="329">
        <f>('Maiz 2da'!B3*(SUMIF('Maiz 2da'!J30:J32,"ABRIL",'Maiz 2da'!E30:E32)))+('Girasol 2da'!B3*(SUMIF('Girasol 2da'!J33:J38,"ABRIL",'Girasol 2da'!E33:E38)))</f>
        <v>0</v>
      </c>
      <c r="N68" s="329"/>
      <c r="O68" s="329"/>
      <c r="P68" s="329">
        <f t="shared" si="6"/>
        <v>0</v>
      </c>
    </row>
    <row r="69" spans="1:16" s="249" customFormat="1" ht="12" outlineLevel="1" x14ac:dyDescent="0.25">
      <c r="A69" s="333" t="s">
        <v>219</v>
      </c>
      <c r="B69" s="329">
        <f>('Maiz 2da'!B3*SUMIF('Maiz 2da'!J26:J27,"MAYO",'Maiz 2da'!E26:E27))+('Girasol 2da'!B3*SUMIF('Girasol 2da'!J29:J30,"MAYO",'Girasol 2da'!E29:E30))</f>
        <v>0</v>
      </c>
      <c r="C69" s="329">
        <f>('Maiz 2da'!B3*SUMIF('Maiz 2da'!J26:J27,"JUNIO",'Maiz 2da'!E26:E27))+('Girasol 2da'!B3*SUMIF('Girasol 2da'!J29:J30,"JUNIO",'Girasol 2da'!E29:E30))</f>
        <v>0</v>
      </c>
      <c r="D69" s="329">
        <f>('Maiz 2da'!B3*SUMIF('Maiz 2da'!J26:J27,"JULIO",'Maiz 2da'!E26:E27))+('Girasol 2da'!B3*SUMIF('Girasol 2da'!J29:J30,"JULIO",'Girasol 2da'!E29:E30))</f>
        <v>0</v>
      </c>
      <c r="E69" s="329">
        <f>('Maiz 2da'!B3*SUMIF('Maiz 2da'!J26:J27,"AGOSTO",'Maiz 2da'!E26:E27))+('Girasol 2da'!B3*SUMIF('Girasol 2da'!J29:J30,"AGOSTO",'Girasol 2da'!E29:E30))</f>
        <v>0</v>
      </c>
      <c r="F69" s="329"/>
      <c r="G69" s="329"/>
      <c r="H69" s="329"/>
      <c r="I69" s="329"/>
      <c r="J69" s="329">
        <f>+'Maiz 2da'!I27</f>
        <v>0</v>
      </c>
      <c r="K69" s="329"/>
      <c r="L69" s="329"/>
      <c r="M69" s="329"/>
      <c r="N69" s="329"/>
      <c r="O69" s="329"/>
      <c r="P69" s="329">
        <f t="shared" si="6"/>
        <v>0</v>
      </c>
    </row>
    <row r="70" spans="1:16" s="249" customFormat="1" ht="12" outlineLevel="1" x14ac:dyDescent="0.25">
      <c r="A70" s="333" t="s">
        <v>205</v>
      </c>
      <c r="B70" s="329">
        <f>'Maiz 2da'!B3*'Maiz 2da'!E16</f>
        <v>0</v>
      </c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>
        <f t="shared" si="6"/>
        <v>0</v>
      </c>
    </row>
    <row r="71" spans="1:16" s="249" customFormat="1" ht="12" outlineLevel="1" x14ac:dyDescent="0.25">
      <c r="A71" s="333" t="s">
        <v>220</v>
      </c>
      <c r="B71" s="329"/>
      <c r="C71" s="329"/>
      <c r="D71" s="329"/>
      <c r="E71" s="329"/>
      <c r="F71" s="329"/>
      <c r="G71" s="329"/>
      <c r="H71" s="329"/>
      <c r="I71" s="329">
        <f>('Maiz 2da'!B3*('Maiz 2da'!E36+'Maiz 2da'!E46))+('Girasol 2da'!B3*('Girasol 2da'!E42+'Girasol 2da'!E52))</f>
        <v>0</v>
      </c>
      <c r="J71" s="329"/>
      <c r="K71" s="329"/>
      <c r="L71" s="329"/>
      <c r="M71" s="329"/>
      <c r="N71" s="329"/>
      <c r="O71" s="329"/>
      <c r="P71" s="329">
        <f t="shared" si="6"/>
        <v>0</v>
      </c>
    </row>
    <row r="72" spans="1:16" s="249" customFormat="1" ht="12" outlineLevel="1" x14ac:dyDescent="0.25">
      <c r="A72" s="333" t="s">
        <v>207</v>
      </c>
      <c r="B72" s="329">
        <f>(('Maiz 2da'!E23*'Maiz 2da'!B3)+('Girasol 2da'!B3*'Girasol 2da'!F26))*0.1</f>
        <v>0</v>
      </c>
      <c r="C72" s="329">
        <f>(('Maiz 2da'!E23*'Maiz 2da'!B3)+('Girasol 2da'!B3*'Girasol 2da'!F26))*0.1</f>
        <v>0</v>
      </c>
      <c r="D72" s="329">
        <f>(('Maiz 2da'!E23*'Maiz 2da'!B3)+('Girasol 2da'!B3*'Girasol 2da'!F26))*0.1</f>
        <v>0</v>
      </c>
      <c r="E72" s="329">
        <f>(('Maiz 2da'!E23*'Maiz 2da'!B3)+('Girasol 2da'!B3*'Girasol 2da'!F26))*0.1</f>
        <v>0</v>
      </c>
      <c r="F72" s="329">
        <f>(('Maiz 2da'!E23*'Maiz 2da'!B3)+('Girasol 2da'!B3*'Girasol 2da'!F26))*0.1</f>
        <v>0</v>
      </c>
      <c r="G72" s="329">
        <f>(('Maiz 2da'!E23*'Maiz 2da'!B3)+('Girasol 2da'!B3*'Girasol 2da'!F26))*0.1</f>
        <v>0</v>
      </c>
      <c r="H72" s="329">
        <f>(('Maiz 2da'!E23*'Maiz 2da'!B3)+('Girasol 2da'!B3*'Girasol 2da'!F26))*0.1</f>
        <v>0</v>
      </c>
      <c r="I72" s="329">
        <f>(('Maiz 2da'!E23*'Maiz 2da'!B3)+('Girasol 2da'!B3*'Girasol 2da'!F26))*0.1</f>
        <v>0</v>
      </c>
      <c r="J72" s="329">
        <f>(('Maiz 2da'!E23*'Maiz 2da'!B3)+('Girasol 2da'!B3*'Girasol 2da'!F26))*0.1</f>
        <v>0</v>
      </c>
      <c r="K72" s="329">
        <f>(('Maiz 2da'!E23*'Maiz 2da'!B3)+('Girasol 2da'!B3*'Girasol 2da'!F26))*0.1</f>
        <v>0</v>
      </c>
      <c r="L72" s="329"/>
      <c r="M72" s="329"/>
      <c r="N72" s="329"/>
      <c r="O72" s="329"/>
      <c r="P72" s="329">
        <f t="shared" si="6"/>
        <v>0</v>
      </c>
    </row>
    <row r="73" spans="1:16" s="249" customFormat="1" ht="12" outlineLevel="1" x14ac:dyDescent="0.25">
      <c r="A73" s="333" t="s">
        <v>221</v>
      </c>
      <c r="B73" s="329"/>
      <c r="C73" s="329"/>
      <c r="D73" s="329"/>
      <c r="E73" s="329"/>
      <c r="F73" s="329"/>
      <c r="G73" s="329"/>
      <c r="H73" s="329"/>
      <c r="I73" s="329"/>
      <c r="J73" s="329">
        <f>('Maiz 2da'!E49*'Maiz 2da'!B3)+('Girasol 2da'!E55*'Girasol 2da'!B3)</f>
        <v>0</v>
      </c>
      <c r="K73" s="329"/>
      <c r="L73" s="329"/>
      <c r="M73" s="329"/>
      <c r="N73" s="329"/>
      <c r="O73" s="329"/>
      <c r="P73" s="329">
        <f t="shared" si="6"/>
        <v>0</v>
      </c>
    </row>
    <row r="74" spans="1:16" s="261" customFormat="1" ht="10.5" customHeight="1" x14ac:dyDescent="0.3">
      <c r="A74" s="333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>
        <f t="shared" si="6"/>
        <v>0</v>
      </c>
    </row>
    <row r="75" spans="1:16" s="261" customFormat="1" ht="12" hidden="1" customHeight="1" x14ac:dyDescent="0.3">
      <c r="A75" s="337" t="s">
        <v>226</v>
      </c>
      <c r="B75" s="329">
        <f>B77-B79</f>
        <v>0</v>
      </c>
      <c r="C75" s="329">
        <f t="shared" ref="C75:O75" si="24">C77-C79</f>
        <v>0</v>
      </c>
      <c r="D75" s="329">
        <f t="shared" si="24"/>
        <v>0</v>
      </c>
      <c r="E75" s="329">
        <f t="shared" si="24"/>
        <v>0</v>
      </c>
      <c r="F75" s="329">
        <f t="shared" si="24"/>
        <v>0</v>
      </c>
      <c r="G75" s="329">
        <f t="shared" si="24"/>
        <v>0</v>
      </c>
      <c r="H75" s="329">
        <f t="shared" si="24"/>
        <v>0</v>
      </c>
      <c r="I75" s="329">
        <f t="shared" si="24"/>
        <v>0</v>
      </c>
      <c r="J75" s="329">
        <f t="shared" si="24"/>
        <v>0</v>
      </c>
      <c r="K75" s="329">
        <f t="shared" si="24"/>
        <v>0</v>
      </c>
      <c r="L75" s="329">
        <f t="shared" si="24"/>
        <v>0</v>
      </c>
      <c r="M75" s="329">
        <f t="shared" si="24"/>
        <v>0</v>
      </c>
      <c r="N75" s="329">
        <f t="shared" si="24"/>
        <v>0</v>
      </c>
      <c r="O75" s="329">
        <f t="shared" si="24"/>
        <v>0</v>
      </c>
      <c r="P75" s="329">
        <f t="shared" si="6"/>
        <v>0</v>
      </c>
    </row>
    <row r="76" spans="1:16" s="249" customFormat="1" ht="12" outlineLevel="1" x14ac:dyDescent="0.25">
      <c r="A76" s="337"/>
      <c r="B76" s="329">
        <f>B75</f>
        <v>0</v>
      </c>
      <c r="C76" s="329">
        <f t="shared" ref="C76:O76" si="25">B76+C75</f>
        <v>0</v>
      </c>
      <c r="D76" s="329">
        <f t="shared" si="25"/>
        <v>0</v>
      </c>
      <c r="E76" s="329">
        <f t="shared" si="25"/>
        <v>0</v>
      </c>
      <c r="F76" s="329">
        <f t="shared" si="25"/>
        <v>0</v>
      </c>
      <c r="G76" s="329">
        <f t="shared" si="25"/>
        <v>0</v>
      </c>
      <c r="H76" s="329">
        <f t="shared" si="25"/>
        <v>0</v>
      </c>
      <c r="I76" s="329">
        <f t="shared" si="25"/>
        <v>0</v>
      </c>
      <c r="J76" s="329">
        <f t="shared" si="25"/>
        <v>0</v>
      </c>
      <c r="K76" s="329">
        <f t="shared" si="25"/>
        <v>0</v>
      </c>
      <c r="L76" s="329">
        <f t="shared" si="25"/>
        <v>0</v>
      </c>
      <c r="M76" s="329">
        <f t="shared" si="25"/>
        <v>0</v>
      </c>
      <c r="N76" s="329">
        <f t="shared" si="25"/>
        <v>0</v>
      </c>
      <c r="O76" s="329">
        <f t="shared" si="25"/>
        <v>0</v>
      </c>
      <c r="P76" s="329">
        <f t="shared" si="6"/>
        <v>0</v>
      </c>
    </row>
    <row r="77" spans="1:16" s="249" customFormat="1" ht="12" outlineLevel="1" x14ac:dyDescent="0.25">
      <c r="A77" s="331" t="s">
        <v>215</v>
      </c>
      <c r="B77" s="331">
        <f>B78</f>
        <v>0</v>
      </c>
      <c r="C77" s="331">
        <f t="shared" ref="C77:O77" si="26">C78</f>
        <v>0</v>
      </c>
      <c r="D77" s="331">
        <f t="shared" si="26"/>
        <v>0</v>
      </c>
      <c r="E77" s="331">
        <f t="shared" si="26"/>
        <v>0</v>
      </c>
      <c r="F77" s="331">
        <f t="shared" si="26"/>
        <v>0</v>
      </c>
      <c r="G77" s="331">
        <f t="shared" si="26"/>
        <v>0</v>
      </c>
      <c r="H77" s="331">
        <f t="shared" si="26"/>
        <v>0</v>
      </c>
      <c r="I77" s="331">
        <f t="shared" si="26"/>
        <v>0</v>
      </c>
      <c r="J77" s="331">
        <f t="shared" si="26"/>
        <v>0</v>
      </c>
      <c r="K77" s="331">
        <f t="shared" si="26"/>
        <v>0</v>
      </c>
      <c r="L77" s="331">
        <f t="shared" si="26"/>
        <v>0</v>
      </c>
      <c r="M77" s="331">
        <f t="shared" si="26"/>
        <v>0</v>
      </c>
      <c r="N77" s="331">
        <f t="shared" si="26"/>
        <v>0</v>
      </c>
      <c r="O77" s="331">
        <f t="shared" si="26"/>
        <v>0</v>
      </c>
      <c r="P77" s="331">
        <f t="shared" si="6"/>
        <v>0</v>
      </c>
    </row>
    <row r="78" spans="1:16" s="249" customFormat="1" ht="12" outlineLevel="1" x14ac:dyDescent="0.25">
      <c r="A78" s="333" t="s">
        <v>216</v>
      </c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>
        <f>('Soja 2da. Co'!B74*'Soja 2da. Co'!B3)*0.4</f>
        <v>0</v>
      </c>
      <c r="O78" s="329">
        <f>('Soja 2da. Co'!B74*'Soja 2da. Co'!B3)*0.6</f>
        <v>0</v>
      </c>
      <c r="P78" s="329">
        <f t="shared" si="6"/>
        <v>0</v>
      </c>
    </row>
    <row r="79" spans="1:16" s="249" customFormat="1" ht="12" outlineLevel="1" x14ac:dyDescent="0.25">
      <c r="A79" s="335" t="s">
        <v>217</v>
      </c>
      <c r="B79" s="335">
        <f>SUM(B80:B86)</f>
        <v>0</v>
      </c>
      <c r="C79" s="335">
        <f t="shared" ref="C79:O79" si="27">SUM(C80:C86)</f>
        <v>0</v>
      </c>
      <c r="D79" s="335">
        <f t="shared" si="27"/>
        <v>0</v>
      </c>
      <c r="E79" s="335">
        <f t="shared" si="27"/>
        <v>0</v>
      </c>
      <c r="F79" s="335">
        <f t="shared" si="27"/>
        <v>0</v>
      </c>
      <c r="G79" s="335">
        <f t="shared" si="27"/>
        <v>0</v>
      </c>
      <c r="H79" s="335">
        <f t="shared" si="27"/>
        <v>0</v>
      </c>
      <c r="I79" s="335">
        <f t="shared" si="27"/>
        <v>0</v>
      </c>
      <c r="J79" s="335">
        <f t="shared" si="27"/>
        <v>0</v>
      </c>
      <c r="K79" s="335">
        <f t="shared" si="27"/>
        <v>0</v>
      </c>
      <c r="L79" s="335">
        <f t="shared" si="27"/>
        <v>0</v>
      </c>
      <c r="M79" s="335">
        <f t="shared" si="27"/>
        <v>0</v>
      </c>
      <c r="N79" s="335">
        <f t="shared" si="27"/>
        <v>0</v>
      </c>
      <c r="O79" s="335">
        <f t="shared" si="27"/>
        <v>0</v>
      </c>
      <c r="P79" s="335">
        <f t="shared" si="6"/>
        <v>0</v>
      </c>
    </row>
    <row r="80" spans="1:16" s="249" customFormat="1" ht="12" outlineLevel="1" x14ac:dyDescent="0.25">
      <c r="A80" s="333" t="s">
        <v>206</v>
      </c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>
        <f t="shared" si="6"/>
        <v>0</v>
      </c>
    </row>
    <row r="81" spans="1:16" s="249" customFormat="1" ht="12" outlineLevel="1" x14ac:dyDescent="0.25">
      <c r="A81" s="333" t="s">
        <v>204</v>
      </c>
      <c r="B81" s="329"/>
      <c r="C81" s="329"/>
      <c r="D81" s="329">
        <f>(SUMIF('Soja 2da. Co'!J7:J17,"JULIO",'Soja 2da. Co'!E7:E17))*'Soja 2da. C'!B3</f>
        <v>0</v>
      </c>
      <c r="E81" s="329">
        <f>(SUMIF('Soja 2da. Co'!J7:J17,"AGOSTO",'Soja 2da. Co'!E7:E17))*'Soja 2da. Co'!B3</f>
        <v>0</v>
      </c>
      <c r="F81" s="329">
        <f>(SUMIF('Soja 2da. Co'!J7:J17,"SEPTIEMBRE",'Soja 2da. Co'!E7:E17))*'Soja 2da. Co'!B3</f>
        <v>0</v>
      </c>
      <c r="G81" s="329">
        <f>(SUMIF('Soja 2da. Co'!J7:J17,"OCTUBRE",'Soja 2da. Co'!E7:E17))*'Soja 2da. Co'!B3</f>
        <v>0</v>
      </c>
      <c r="H81" s="329">
        <f>(SUMIF('Soja 2da. Co'!J7:J17,"NOVIEMBRE",'Soja 2da. Co'!E7:E17))*'Soja 2da. Co'!B3</f>
        <v>0</v>
      </c>
      <c r="I81" s="329">
        <f>(SUMIF('Soja 2da. Co'!J7:J17,"DICIEMBRE",'Soja 2da. Co'!E7:E17))*'Soja 2da. Co'!B3</f>
        <v>0</v>
      </c>
      <c r="J81" s="329">
        <f>(SUMIF('Soja 2da. Co'!J7:J17,"ENERO",'Soja 2da. Co'!E7:E17))*'Soja 2da. Co'!B3</f>
        <v>0</v>
      </c>
      <c r="K81" s="329">
        <f>(SUMIF('Soja 2da. Co'!J7:J17,"FEBRERO",'Soja 2da. Co'!E7:E17))*'Soja 2da. Co'!B3</f>
        <v>0</v>
      </c>
      <c r="L81" s="329">
        <f>(SUMIF('Soja 2da. Co'!J7:J17,"MARZO",'Soja 2da. Co'!E7:E17))*'Soja 2da. Co'!B3</f>
        <v>0</v>
      </c>
      <c r="M81" s="329">
        <f>(SUMIF('Soja 2da. Co'!J7:J17,"ABRIL",'Soja 2da. Co'!E7:E17))*'Soja 2da. Co'!B3</f>
        <v>0</v>
      </c>
      <c r="N81" s="329">
        <f>(SUMIF('Soja 2da. Co'!J7:J17,"MAYO",'Soja 2da. Co'!E7:E17))*'Soja 2da. Co'!B3</f>
        <v>0</v>
      </c>
      <c r="O81" s="329">
        <f>(SUMIF('Soja 2da. Co'!J7:J17,"JUNIO",'Soja 2da. Co'!E7:E17))*'Soja 2da. Co'!B3</f>
        <v>0</v>
      </c>
      <c r="P81" s="329">
        <f t="shared" si="6"/>
        <v>0</v>
      </c>
    </row>
    <row r="82" spans="1:16" s="249" customFormat="1" ht="12" outlineLevel="1" x14ac:dyDescent="0.25">
      <c r="A82" s="333" t="s">
        <v>218</v>
      </c>
      <c r="B82" s="329"/>
      <c r="C82" s="329"/>
      <c r="D82" s="329">
        <f>(SUMIF('Soja 2da. Co'!J35:J44,"JULIO",'Soja 2da. Co'!E35:E44)*'Soja 2da. Co'!B3)</f>
        <v>0</v>
      </c>
      <c r="E82" s="329">
        <f>(SUMIF('Soja 2da. Co'!J35:J44,"AGOSTO",'Soja 2da. Co'!E35:E44)*'Soja 2da. Co'!B3)</f>
        <v>0</v>
      </c>
      <c r="F82" s="329">
        <f>(SUMIF('Soja 2da. Co'!J35:J44,"SEPTIEMBRE}",'Soja 2da. Co'!E35:E44)*'Soja 2da. Co'!B3)</f>
        <v>0</v>
      </c>
      <c r="G82" s="329">
        <f>(SUMIF('Soja 2da. Co'!J35:J44,"OCTUBRE",'Soja 2da. Co'!E35:E44)*'Soja 2da. Co'!B3)</f>
        <v>0</v>
      </c>
      <c r="H82" s="329">
        <f>(SUMIF('Soja 2da. Co'!J35:J44,"NOVIEMBRE",'Soja 2da. Co'!E35:E44)*'Soja 2da. Co'!B3)</f>
        <v>0</v>
      </c>
      <c r="I82" s="329">
        <f>(SUMIF('Soja 2da. Co'!J35:J44,"DICIEMBRE",'Soja 2da. Co'!E35:E44)*'Soja 2da. Co'!B3)</f>
        <v>0</v>
      </c>
      <c r="J82" s="329">
        <f>(SUMIF('Soja 2da. Co'!J35:J44,"ENERO",'Soja 2da. Co'!E35:E44)*'Soja 2da. Co'!B3)+('Soja 2da. Co'!B3*SUMIF('Soja 2da. Co'!J35:J44,"ENERO/MARZO",'Soja 2da. Co'!E35:E44)*0.5)</f>
        <v>0</v>
      </c>
      <c r="K82" s="329">
        <f>(SUMIF('Soja 2da. Co'!J35:J44,"FEBRERO",'Soja 2da. Co'!E35:E44)*'Soja 2da. Co'!B3)</f>
        <v>0</v>
      </c>
      <c r="L82" s="329">
        <f>(SUMIF('Soja 2da. Co'!J35:J44,"MARZO",'Soja 2da. Co'!E35:E44)*'Soja 2da. Co'!B3)+('Soja 2da. Co'!B3*SUMIF('Soja 2da. Co'!J35:J44,"ENERO/MARZO",'Soja 2da. Co'!E35:E44)*0.5)</f>
        <v>0</v>
      </c>
      <c r="M82" s="329">
        <f>(SUMIF('Soja 2da. Co'!J35:J44,"ABRIL",'Soja 2da. Co'!E35:E44)*'Soja 2da. Co'!B3)</f>
        <v>0</v>
      </c>
      <c r="N82" s="329">
        <f>(SUMIF('Soja 2da. Co'!J35:J44,"MAYO",'Soja 2da. Co'!E35:E44)*'Soja 2da. Co'!B3)</f>
        <v>0</v>
      </c>
      <c r="O82" s="329">
        <f>(SUMIF('Soja 2da. Co'!J35:J44,"JUNIO",'Soja 2da. Co'!E35:E44)*'Soja 2da. Co'!B3)</f>
        <v>0</v>
      </c>
      <c r="P82" s="329">
        <f t="shared" si="6"/>
        <v>0</v>
      </c>
    </row>
    <row r="83" spans="1:16" s="249" customFormat="1" ht="12" outlineLevel="1" x14ac:dyDescent="0.25">
      <c r="A83" s="333" t="s">
        <v>205</v>
      </c>
      <c r="B83" s="329"/>
      <c r="C83" s="329"/>
      <c r="D83" s="329"/>
      <c r="E83" s="329"/>
      <c r="F83" s="329"/>
      <c r="G83" s="329"/>
      <c r="H83" s="329"/>
      <c r="I83" s="329"/>
      <c r="J83" s="329">
        <f>'Soja 2da. Co'!B3*'Soja 2da. Co'!E22</f>
        <v>0</v>
      </c>
      <c r="K83" s="329"/>
      <c r="L83" s="329"/>
      <c r="M83" s="329"/>
      <c r="N83" s="329"/>
      <c r="O83" s="329"/>
      <c r="P83" s="329">
        <f t="shared" si="6"/>
        <v>0</v>
      </c>
    </row>
    <row r="84" spans="1:16" s="249" customFormat="1" ht="12" outlineLevel="1" x14ac:dyDescent="0.25">
      <c r="A84" s="333" t="s">
        <v>220</v>
      </c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>
        <f>'Soja 2da. Co'!B3*('Soja 2da. Co'!E48+'Soja 2da. Co'!E58)</f>
        <v>0</v>
      </c>
      <c r="P84" s="329">
        <f t="shared" ref="P84:P114" si="28">SUM(B84:O84)</f>
        <v>0</v>
      </c>
    </row>
    <row r="85" spans="1:16" s="249" customFormat="1" ht="12" outlineLevel="1" x14ac:dyDescent="0.25">
      <c r="A85" s="333" t="s">
        <v>207</v>
      </c>
      <c r="B85" s="329"/>
      <c r="C85" s="329"/>
      <c r="D85" s="329"/>
      <c r="E85" s="329"/>
      <c r="F85" s="329">
        <f>'Soja 2da. Co'!E28*'Soja 2da. Co'!B3*0.1</f>
        <v>0</v>
      </c>
      <c r="G85" s="329">
        <f>'Soja 2da. Co'!E28*'Soja 2da. Co'!B3*0.1</f>
        <v>0</v>
      </c>
      <c r="H85" s="329">
        <f>'Soja 2da. Co'!E28*'Soja 2da. Co'!B3*0.1</f>
        <v>0</v>
      </c>
      <c r="I85" s="329">
        <f>'Soja 2da. Co'!E28*'Soja 2da. Co'!B3*0.1</f>
        <v>0</v>
      </c>
      <c r="J85" s="329">
        <f>'Soja 2da. Co'!E28*'Soja 2da. Co'!B3*0.1</f>
        <v>0</v>
      </c>
      <c r="K85" s="329">
        <f>'Soja 2da. Co'!E28*'Soja 2da. Co'!B3*0.1</f>
        <v>0</v>
      </c>
      <c r="L85" s="329">
        <f>'Soja 2da. Co'!E28*'Soja 2da. Co'!B3*0.1</f>
        <v>0</v>
      </c>
      <c r="M85" s="329">
        <f>'Soja 2da. Co'!E28*'Soja 2da. Co'!B3*0.1</f>
        <v>0</v>
      </c>
      <c r="N85" s="329">
        <f>'Soja 2da. Co'!E28*'Soja 2da. Co'!B3*0.1</f>
        <v>0</v>
      </c>
      <c r="O85" s="329">
        <f>'Soja 2da. Co'!E28*'Soja 2da. Co'!B3*0.1</f>
        <v>0</v>
      </c>
      <c r="P85" s="329">
        <f t="shared" si="28"/>
        <v>0</v>
      </c>
    </row>
    <row r="86" spans="1:16" s="249" customFormat="1" ht="12" outlineLevel="1" x14ac:dyDescent="0.25">
      <c r="A86" s="333" t="s">
        <v>221</v>
      </c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>
        <f>'Soja 2da. Co'!E62*'Soja 2da. Co'!B3</f>
        <v>0</v>
      </c>
      <c r="P86" s="329">
        <f t="shared" si="28"/>
        <v>0</v>
      </c>
    </row>
    <row r="87" spans="1:16" s="261" customFormat="1" ht="17.25" customHeight="1" x14ac:dyDescent="0.3">
      <c r="A87" s="306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</row>
    <row r="88" spans="1:16" s="261" customFormat="1" ht="13.8" x14ac:dyDescent="0.3">
      <c r="A88" s="328" t="s">
        <v>227</v>
      </c>
      <c r="B88" s="329">
        <f>B90-B92</f>
        <v>0</v>
      </c>
      <c r="C88" s="329">
        <f t="shared" ref="C88:O88" si="29">C90-C92</f>
        <v>0</v>
      </c>
      <c r="D88" s="329">
        <f t="shared" si="29"/>
        <v>0</v>
      </c>
      <c r="E88" s="329">
        <f t="shared" si="29"/>
        <v>0</v>
      </c>
      <c r="F88" s="329">
        <f t="shared" si="29"/>
        <v>0</v>
      </c>
      <c r="G88" s="329">
        <f t="shared" si="29"/>
        <v>0</v>
      </c>
      <c r="H88" s="329">
        <f t="shared" si="29"/>
        <v>0</v>
      </c>
      <c r="I88" s="329">
        <f t="shared" si="29"/>
        <v>0</v>
      </c>
      <c r="J88" s="329">
        <f t="shared" si="29"/>
        <v>0</v>
      </c>
      <c r="K88" s="329">
        <f t="shared" si="29"/>
        <v>0</v>
      </c>
      <c r="L88" s="329">
        <f t="shared" si="29"/>
        <v>0</v>
      </c>
      <c r="M88" s="329">
        <f t="shared" si="29"/>
        <v>0</v>
      </c>
      <c r="N88" s="329">
        <f t="shared" si="29"/>
        <v>0</v>
      </c>
      <c r="O88" s="329">
        <f t="shared" si="29"/>
        <v>0</v>
      </c>
      <c r="P88" s="329">
        <f t="shared" si="28"/>
        <v>0</v>
      </c>
    </row>
    <row r="89" spans="1:16" s="249" customFormat="1" ht="12" x14ac:dyDescent="0.25">
      <c r="A89" s="306"/>
      <c r="B89" s="329">
        <f>B88</f>
        <v>0</v>
      </c>
      <c r="C89" s="329">
        <f t="shared" ref="C89:O89" si="30">B89+C88</f>
        <v>0</v>
      </c>
      <c r="D89" s="329">
        <f t="shared" si="30"/>
        <v>0</v>
      </c>
      <c r="E89" s="329">
        <f t="shared" si="30"/>
        <v>0</v>
      </c>
      <c r="F89" s="329">
        <f t="shared" si="30"/>
        <v>0</v>
      </c>
      <c r="G89" s="329">
        <f t="shared" si="30"/>
        <v>0</v>
      </c>
      <c r="H89" s="329">
        <f t="shared" si="30"/>
        <v>0</v>
      </c>
      <c r="I89" s="329">
        <f t="shared" si="30"/>
        <v>0</v>
      </c>
      <c r="J89" s="329">
        <f t="shared" si="30"/>
        <v>0</v>
      </c>
      <c r="K89" s="329">
        <f t="shared" si="30"/>
        <v>0</v>
      </c>
      <c r="L89" s="329">
        <f t="shared" si="30"/>
        <v>0</v>
      </c>
      <c r="M89" s="329">
        <f t="shared" si="30"/>
        <v>0</v>
      </c>
      <c r="N89" s="329">
        <f t="shared" si="30"/>
        <v>0</v>
      </c>
      <c r="O89" s="329">
        <f t="shared" si="30"/>
        <v>0</v>
      </c>
      <c r="P89" s="329">
        <f t="shared" si="28"/>
        <v>0</v>
      </c>
    </row>
    <row r="90" spans="1:16" s="249" customFormat="1" ht="12" outlineLevel="1" x14ac:dyDescent="0.25">
      <c r="A90" s="331" t="s">
        <v>215</v>
      </c>
      <c r="B90" s="331">
        <f>B91</f>
        <v>0</v>
      </c>
      <c r="C90" s="331">
        <f t="shared" ref="C90:O90" si="31">C91</f>
        <v>0</v>
      </c>
      <c r="D90" s="331">
        <f t="shared" si="31"/>
        <v>0</v>
      </c>
      <c r="E90" s="331">
        <f t="shared" si="31"/>
        <v>0</v>
      </c>
      <c r="F90" s="331">
        <f t="shared" si="31"/>
        <v>0</v>
      </c>
      <c r="G90" s="331">
        <f t="shared" si="31"/>
        <v>0</v>
      </c>
      <c r="H90" s="331">
        <f t="shared" si="31"/>
        <v>0</v>
      </c>
      <c r="I90" s="331">
        <f t="shared" si="31"/>
        <v>0</v>
      </c>
      <c r="J90" s="331">
        <f t="shared" si="31"/>
        <v>0</v>
      </c>
      <c r="K90" s="331">
        <f t="shared" si="31"/>
        <v>0</v>
      </c>
      <c r="L90" s="331">
        <f t="shared" si="31"/>
        <v>0</v>
      </c>
      <c r="M90" s="331">
        <f t="shared" si="31"/>
        <v>0</v>
      </c>
      <c r="N90" s="331">
        <f t="shared" si="31"/>
        <v>0</v>
      </c>
      <c r="O90" s="331">
        <f t="shared" si="31"/>
        <v>0</v>
      </c>
      <c r="P90" s="331">
        <f t="shared" si="28"/>
        <v>0</v>
      </c>
    </row>
    <row r="91" spans="1:16" s="249" customFormat="1" ht="12" outlineLevel="1" x14ac:dyDescent="0.25">
      <c r="A91" s="333" t="s">
        <v>216</v>
      </c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>
        <f>'Maiz SP'!B79*'Maiz SP'!B3*0.15</f>
        <v>0</v>
      </c>
      <c r="O91" s="329">
        <f>'Maiz SP'!B79*'Maiz SP'!B3*0.85</f>
        <v>0</v>
      </c>
      <c r="P91" s="329">
        <f t="shared" si="28"/>
        <v>0</v>
      </c>
    </row>
    <row r="92" spans="1:16" s="249" customFormat="1" ht="12" outlineLevel="1" x14ac:dyDescent="0.25">
      <c r="A92" s="335" t="s">
        <v>217</v>
      </c>
      <c r="B92" s="335">
        <f>SUM(B93:B100)</f>
        <v>0</v>
      </c>
      <c r="C92" s="335">
        <f t="shared" ref="C92:O92" si="32">SUM(C93:C100)</f>
        <v>0</v>
      </c>
      <c r="D92" s="335">
        <f t="shared" si="32"/>
        <v>0</v>
      </c>
      <c r="E92" s="335">
        <f t="shared" si="32"/>
        <v>0</v>
      </c>
      <c r="F92" s="335">
        <f t="shared" si="32"/>
        <v>0</v>
      </c>
      <c r="G92" s="335">
        <f t="shared" si="32"/>
        <v>0</v>
      </c>
      <c r="H92" s="335">
        <f t="shared" si="32"/>
        <v>0</v>
      </c>
      <c r="I92" s="335">
        <f t="shared" si="32"/>
        <v>0</v>
      </c>
      <c r="J92" s="335">
        <f t="shared" si="32"/>
        <v>0</v>
      </c>
      <c r="K92" s="335">
        <f t="shared" si="32"/>
        <v>0</v>
      </c>
      <c r="L92" s="335">
        <f t="shared" si="32"/>
        <v>0</v>
      </c>
      <c r="M92" s="335">
        <f t="shared" si="32"/>
        <v>0</v>
      </c>
      <c r="N92" s="335">
        <f t="shared" si="32"/>
        <v>0</v>
      </c>
      <c r="O92" s="335">
        <f t="shared" si="32"/>
        <v>0</v>
      </c>
      <c r="P92" s="335">
        <f t="shared" si="28"/>
        <v>0</v>
      </c>
    </row>
    <row r="93" spans="1:16" s="249" customFormat="1" ht="12" outlineLevel="1" x14ac:dyDescent="0.25">
      <c r="A93" s="333" t="s">
        <v>206</v>
      </c>
      <c r="B93" s="329">
        <f>+'[2]Alquileres por campo'!$D$62+'[2]Alquileres por campo'!$E$62</f>
        <v>0</v>
      </c>
      <c r="C93" s="329">
        <f>+'[2]Alquileres por campo'!F62</f>
        <v>0</v>
      </c>
      <c r="D93" s="329">
        <f>+'[2]Alquileres por campo'!G62</f>
        <v>0</v>
      </c>
      <c r="E93" s="329">
        <f>+'[2]Alquileres por campo'!H62</f>
        <v>0</v>
      </c>
      <c r="F93" s="329">
        <f>+'[2]Alquileres por campo'!I62</f>
        <v>0</v>
      </c>
      <c r="G93" s="329">
        <f>+'[2]Alquileres por campo'!J62</f>
        <v>0</v>
      </c>
      <c r="H93" s="329">
        <f>+'[2]Alquileres por campo'!K62</f>
        <v>0</v>
      </c>
      <c r="I93" s="329">
        <f>+'[2]Alquileres por campo'!L62</f>
        <v>0</v>
      </c>
      <c r="J93" s="329">
        <f>+'[2]Alquileres por campo'!M62</f>
        <v>0</v>
      </c>
      <c r="K93" s="329">
        <f>+'[2]Alquileres por campo'!N62</f>
        <v>0</v>
      </c>
      <c r="L93" s="329">
        <f>+'[2]Alquileres por campo'!O62</f>
        <v>0</v>
      </c>
      <c r="M93" s="329">
        <f>+'[2]Alquileres por campo'!P62</f>
        <v>0</v>
      </c>
      <c r="N93" s="329">
        <f>+'[2]Alquileres por campo'!Q62</f>
        <v>0</v>
      </c>
      <c r="O93" s="329">
        <f>+'[2]Alquileres por campo'!R62</f>
        <v>0</v>
      </c>
      <c r="P93" s="354">
        <f t="shared" si="28"/>
        <v>0</v>
      </c>
    </row>
    <row r="94" spans="1:16" s="249" customFormat="1" ht="12" outlineLevel="1" x14ac:dyDescent="0.25">
      <c r="A94" s="333" t="s">
        <v>204</v>
      </c>
      <c r="B94" s="329"/>
      <c r="C94" s="329"/>
      <c r="D94" s="329">
        <f>'Maiz SP'!B3*(SUMIF('Maiz SP'!J6:J20,"JULIO",'Maiz SP'!E6:E20))</f>
        <v>0</v>
      </c>
      <c r="E94" s="329">
        <f>'Maiz SP'!B3*(SUMIF('Maiz SP'!J6:J20,"AGOSTO",'Maiz SP'!E6:E20))</f>
        <v>0</v>
      </c>
      <c r="F94" s="329">
        <f>'Maiz SP'!B3*(SUMIF('Maiz SP'!J6:J20,"SEPTIEMBRE",'Maiz SP'!E6:E20))</f>
        <v>0</v>
      </c>
      <c r="G94" s="329">
        <f>'Maiz SP'!B3*(SUMIF('Maiz SP'!J6:J20,"OCTUBRE",'Maiz SP'!E6:E20))</f>
        <v>0</v>
      </c>
      <c r="H94" s="329">
        <f>'Maiz SP'!B3*(SUMIF('Maiz SP'!J6:J20,"NOVIEMBRE",'Maiz SP'!E6:E20))</f>
        <v>0</v>
      </c>
      <c r="I94" s="329">
        <f>'Maiz SP'!B3*(SUMIF('Maiz SP'!J6:J20,"DICIEMBRE",'Maiz SP'!E6:E20))</f>
        <v>0</v>
      </c>
      <c r="J94" s="329">
        <f>'Maiz SP'!B3*(SUMIF('Maiz SP'!J6:J20,"ENERO",'Maiz SP'!E6:E20))</f>
        <v>0</v>
      </c>
      <c r="K94" s="329">
        <f>'Maiz SP'!B3*(SUMIF('Maiz SP'!J6:J20,"FEBRERO",'Maiz SP'!E6:E20))</f>
        <v>0</v>
      </c>
      <c r="L94" s="329">
        <f>'Maiz SP'!B3*(SUMIF('Maiz SP'!J6:J20,"MARZO",'Maiz SP'!E6:E20))</f>
        <v>0</v>
      </c>
      <c r="M94" s="329">
        <f>'Maiz SP'!B3*(SUMIF('Maiz SP'!J6:J20,"ABRIL",'Maiz SP'!E6:E20))</f>
        <v>0</v>
      </c>
      <c r="N94" s="329">
        <f>'Maiz SP'!B3*(SUMIF('Maiz SP'!J6:J20,"MAYO",'Maiz SP'!E6:E20))</f>
        <v>0</v>
      </c>
      <c r="O94" s="329">
        <f>'Maiz SP'!B3*(SUMIF('Maiz SP'!J6:J20,"JUNIO",'Maiz SP'!E6:E20))</f>
        <v>0</v>
      </c>
      <c r="P94" s="329">
        <f t="shared" si="28"/>
        <v>0</v>
      </c>
    </row>
    <row r="95" spans="1:16" s="249" customFormat="1" ht="12" outlineLevel="1" x14ac:dyDescent="0.25">
      <c r="A95" s="333" t="s">
        <v>218</v>
      </c>
      <c r="B95" s="329"/>
      <c r="C95" s="329"/>
      <c r="D95" s="329">
        <f>'Maiz SP'!B3*(SUMIF('Maiz SP'!J38:J47,"JULIO",'Maiz SP'!E38:E47))</f>
        <v>0</v>
      </c>
      <c r="E95" s="329">
        <f>'Maiz SP'!B3*(SUMIF('Maiz SP'!J38:J47,"AGOSTO",'Maiz SP'!E38:E47))</f>
        <v>0</v>
      </c>
      <c r="F95" s="329">
        <f>'Maiz SP'!B3*(SUMIF('Maiz SP'!J38:J47,"SEPTIEMBRE",'Maiz SP'!E38:E47))</f>
        <v>0</v>
      </c>
      <c r="G95" s="329">
        <f>'Maiz SP'!B3*(SUMIF('Maiz SP'!J38:J47,"OCTUBRE",'Maiz SP'!E38:E47))</f>
        <v>0</v>
      </c>
      <c r="H95" s="329">
        <f>'Maiz SP'!B3*(SUMIF('Maiz SP'!J38:J47,"NOVIEMBRE",'Maiz SP'!E38:E47))</f>
        <v>0</v>
      </c>
      <c r="I95" s="329">
        <f>'Maiz SP'!B3*(SUMIF('Maiz SP'!J38:J47,"DICIEMBRE",'Maiz SP'!E38:E47))</f>
        <v>0</v>
      </c>
      <c r="J95" s="329">
        <f>'Maiz SP'!B3*(SUMIF('Maiz SP'!J38:J47,"ENERO",'Maiz SP'!E38:E47))</f>
        <v>0</v>
      </c>
      <c r="K95" s="329">
        <f>'Maiz SP'!B3*(SUMIF('Maiz SP'!J38:J47,"FEBRERO",'Maiz SP'!E38:E47))</f>
        <v>0</v>
      </c>
      <c r="L95" s="329">
        <f>'Maiz SP'!B3*(SUMIF('Maiz SP'!J38:J47,"MARZO",'Maiz SP'!E38:E47))</f>
        <v>0</v>
      </c>
      <c r="M95" s="329">
        <f>'Maiz SP'!B3*(SUMIF('Maiz SP'!J38:J47,"ABRIL",'Maiz SP'!E38:E47))</f>
        <v>0</v>
      </c>
      <c r="N95" s="329">
        <f>'Maiz SP'!B3*(SUMIF('Maiz SP'!J38:J47,"MAYO",'Maiz SP'!E38:E47))</f>
        <v>0</v>
      </c>
      <c r="O95" s="329">
        <f>'Maiz SP'!B3*(SUMIF('Maiz SP'!J38:J47,"JUNIO",'Maiz SP'!E38:E47))</f>
        <v>0</v>
      </c>
      <c r="P95" s="329">
        <f t="shared" si="28"/>
        <v>0</v>
      </c>
    </row>
    <row r="96" spans="1:16" s="249" customFormat="1" ht="12" outlineLevel="1" x14ac:dyDescent="0.25">
      <c r="A96" s="333" t="s">
        <v>205</v>
      </c>
      <c r="B96" s="329"/>
      <c r="C96" s="329"/>
      <c r="D96" s="329"/>
      <c r="E96" s="329"/>
      <c r="F96" s="329"/>
      <c r="G96" s="329"/>
      <c r="H96" s="329"/>
      <c r="I96" s="329"/>
      <c r="J96" s="329">
        <f>'Maiz SP'!E24*'Maiz SP'!B3</f>
        <v>0</v>
      </c>
      <c r="K96" s="329"/>
      <c r="L96" s="329"/>
      <c r="M96" s="329"/>
      <c r="N96" s="329"/>
      <c r="O96" s="329"/>
      <c r="P96" s="329">
        <f t="shared" si="28"/>
        <v>0</v>
      </c>
    </row>
    <row r="97" spans="1:21" s="249" customFormat="1" ht="12" outlineLevel="1" x14ac:dyDescent="0.25">
      <c r="A97" s="333" t="s">
        <v>219</v>
      </c>
      <c r="B97" s="329"/>
      <c r="C97" s="329"/>
      <c r="D97" s="329"/>
      <c r="E97" s="329"/>
      <c r="F97" s="329"/>
      <c r="G97" s="329"/>
      <c r="H97" s="329"/>
      <c r="I97" s="329">
        <f>+'Maiz SP'!I33</f>
        <v>0</v>
      </c>
      <c r="J97" s="359">
        <f>+'Maiz SP'!I35</f>
        <v>0</v>
      </c>
      <c r="K97" s="329"/>
      <c r="L97" s="329"/>
      <c r="M97" s="329"/>
      <c r="N97" s="329"/>
      <c r="O97" s="329"/>
      <c r="P97" s="329">
        <f t="shared" si="28"/>
        <v>0</v>
      </c>
      <c r="Q97" s="275"/>
      <c r="R97" s="275"/>
      <c r="S97" s="275"/>
      <c r="T97" s="275"/>
      <c r="U97" s="275"/>
    </row>
    <row r="98" spans="1:21" s="249" customFormat="1" ht="12" outlineLevel="1" x14ac:dyDescent="0.25">
      <c r="A98" s="333" t="s">
        <v>220</v>
      </c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>
        <f>'Maiz SP'!B3*('Maiz SP'!E51+'Maiz SP'!E71)</f>
        <v>0</v>
      </c>
      <c r="P98" s="329">
        <f t="shared" si="28"/>
        <v>0</v>
      </c>
      <c r="Q98" s="275"/>
      <c r="R98" s="275"/>
      <c r="S98" s="275"/>
      <c r="T98" s="275"/>
      <c r="U98" s="275"/>
    </row>
    <row r="99" spans="1:21" s="249" customFormat="1" ht="12" outlineLevel="1" x14ac:dyDescent="0.25">
      <c r="A99" s="333" t="s">
        <v>207</v>
      </c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>
        <f t="shared" si="28"/>
        <v>0</v>
      </c>
      <c r="Q99" s="275"/>
      <c r="R99" s="275"/>
      <c r="S99" s="275"/>
      <c r="T99" s="275"/>
      <c r="U99" s="275"/>
    </row>
    <row r="100" spans="1:21" s="249" customFormat="1" ht="12" outlineLevel="1" x14ac:dyDescent="0.25">
      <c r="A100" s="333" t="s">
        <v>221</v>
      </c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>
        <f>'Maiz SP'!B3*'Maiz SP'!E54</f>
        <v>0</v>
      </c>
      <c r="P100" s="329">
        <f t="shared" si="28"/>
        <v>0</v>
      </c>
      <c r="Q100" s="275"/>
      <c r="R100" s="275"/>
      <c r="S100" s="275"/>
      <c r="T100" s="275"/>
      <c r="U100" s="275"/>
    </row>
    <row r="101" spans="1:21" s="261" customFormat="1" ht="13.8" x14ac:dyDescent="0.3">
      <c r="A101" s="306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264"/>
      <c r="R101" s="264"/>
      <c r="S101" s="264"/>
      <c r="T101" s="264"/>
      <c r="U101" s="264"/>
    </row>
    <row r="102" spans="1:21" s="261" customFormat="1" ht="12.75" customHeight="1" x14ac:dyDescent="0.3">
      <c r="A102" s="337" t="s">
        <v>228</v>
      </c>
      <c r="B102" s="329">
        <f>B104-B106</f>
        <v>0</v>
      </c>
      <c r="C102" s="329">
        <f t="shared" ref="C102:O102" si="33">C104-C106</f>
        <v>0</v>
      </c>
      <c r="D102" s="329">
        <f t="shared" ca="1" si="33"/>
        <v>0</v>
      </c>
      <c r="E102" s="329">
        <f t="shared" si="33"/>
        <v>0</v>
      </c>
      <c r="F102" s="329">
        <f t="shared" si="33"/>
        <v>0</v>
      </c>
      <c r="G102" s="329">
        <f t="shared" si="33"/>
        <v>0</v>
      </c>
      <c r="H102" s="329">
        <f t="shared" si="33"/>
        <v>0</v>
      </c>
      <c r="I102" s="329">
        <f t="shared" si="33"/>
        <v>0</v>
      </c>
      <c r="J102" s="329">
        <f t="shared" si="33"/>
        <v>0</v>
      </c>
      <c r="K102" s="329">
        <f t="shared" si="33"/>
        <v>0</v>
      </c>
      <c r="L102" s="329">
        <f t="shared" si="33"/>
        <v>0</v>
      </c>
      <c r="M102" s="329">
        <f t="shared" ca="1" si="33"/>
        <v>0</v>
      </c>
      <c r="N102" s="329">
        <f t="shared" si="33"/>
        <v>0</v>
      </c>
      <c r="O102" s="329">
        <f t="shared" si="33"/>
        <v>0</v>
      </c>
      <c r="P102" s="329">
        <f t="shared" ca="1" si="28"/>
        <v>0</v>
      </c>
      <c r="Q102" s="264"/>
      <c r="R102" s="264"/>
      <c r="S102" s="264"/>
      <c r="T102" s="264"/>
      <c r="U102" s="264"/>
    </row>
    <row r="103" spans="1:21" s="249" customFormat="1" ht="10.5" customHeight="1" x14ac:dyDescent="0.25">
      <c r="A103" s="306"/>
      <c r="B103" s="329">
        <f>B102</f>
        <v>0</v>
      </c>
      <c r="C103" s="329">
        <f t="shared" ref="C103:O103" si="34">B103+C102</f>
        <v>0</v>
      </c>
      <c r="D103" s="329">
        <f t="shared" ca="1" si="34"/>
        <v>0</v>
      </c>
      <c r="E103" s="329">
        <f t="shared" ca="1" si="34"/>
        <v>0</v>
      </c>
      <c r="F103" s="329">
        <f t="shared" ca="1" si="34"/>
        <v>0</v>
      </c>
      <c r="G103" s="329">
        <f t="shared" ca="1" si="34"/>
        <v>0</v>
      </c>
      <c r="H103" s="329">
        <f t="shared" ca="1" si="34"/>
        <v>0</v>
      </c>
      <c r="I103" s="329">
        <f t="shared" ca="1" si="34"/>
        <v>0</v>
      </c>
      <c r="J103" s="329">
        <f t="shared" ca="1" si="34"/>
        <v>0</v>
      </c>
      <c r="K103" s="329">
        <f t="shared" ca="1" si="34"/>
        <v>0</v>
      </c>
      <c r="L103" s="329">
        <f t="shared" ca="1" si="34"/>
        <v>0</v>
      </c>
      <c r="M103" s="329">
        <f t="shared" ca="1" si="34"/>
        <v>0</v>
      </c>
      <c r="N103" s="329">
        <f t="shared" ca="1" si="34"/>
        <v>0</v>
      </c>
      <c r="O103" s="329">
        <f t="shared" ca="1" si="34"/>
        <v>0</v>
      </c>
      <c r="P103" s="329">
        <f t="shared" ca="1" si="28"/>
        <v>0</v>
      </c>
      <c r="Q103" s="275"/>
      <c r="R103" s="275"/>
      <c r="S103" s="275"/>
      <c r="T103" s="275"/>
      <c r="U103" s="275"/>
    </row>
    <row r="104" spans="1:21" s="249" customFormat="1" ht="12" outlineLevel="1" x14ac:dyDescent="0.25">
      <c r="A104" s="331" t="s">
        <v>215</v>
      </c>
      <c r="B104" s="331">
        <f>B105</f>
        <v>0</v>
      </c>
      <c r="C104" s="331">
        <f t="shared" ref="C104:O104" si="35">C105</f>
        <v>0</v>
      </c>
      <c r="D104" s="331">
        <f t="shared" si="35"/>
        <v>0</v>
      </c>
      <c r="E104" s="331">
        <f t="shared" si="35"/>
        <v>0</v>
      </c>
      <c r="F104" s="331">
        <f t="shared" si="35"/>
        <v>0</v>
      </c>
      <c r="G104" s="331">
        <f t="shared" si="35"/>
        <v>0</v>
      </c>
      <c r="H104" s="331">
        <f t="shared" si="35"/>
        <v>0</v>
      </c>
      <c r="I104" s="331">
        <f t="shared" si="35"/>
        <v>0</v>
      </c>
      <c r="J104" s="331">
        <f t="shared" si="35"/>
        <v>0</v>
      </c>
      <c r="K104" s="331">
        <f t="shared" si="35"/>
        <v>0</v>
      </c>
      <c r="L104" s="331">
        <f t="shared" si="35"/>
        <v>0</v>
      </c>
      <c r="M104" s="331">
        <f t="shared" si="35"/>
        <v>0</v>
      </c>
      <c r="N104" s="331">
        <f t="shared" si="35"/>
        <v>0</v>
      </c>
      <c r="O104" s="331">
        <f t="shared" si="35"/>
        <v>0</v>
      </c>
      <c r="P104" s="331">
        <f t="shared" si="28"/>
        <v>0</v>
      </c>
      <c r="Q104" s="275"/>
      <c r="R104" s="275"/>
      <c r="S104" s="275"/>
      <c r="T104" s="275"/>
      <c r="U104" s="275"/>
    </row>
    <row r="105" spans="1:21" s="249" customFormat="1" ht="12" outlineLevel="1" x14ac:dyDescent="0.25">
      <c r="A105" s="333" t="s">
        <v>216</v>
      </c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>
        <f>0.3*(Camelina!B85*Camelina!B3)</f>
        <v>0</v>
      </c>
      <c r="O105" s="329">
        <f>0.7*(Camelina!B85*Camelina!B3)</f>
        <v>0</v>
      </c>
      <c r="P105" s="329">
        <f>SUM(B105:O105)</f>
        <v>0</v>
      </c>
      <c r="Q105" s="275"/>
      <c r="R105" s="275"/>
      <c r="S105" s="275"/>
      <c r="T105" s="275"/>
      <c r="U105" s="275"/>
    </row>
    <row r="106" spans="1:21" s="249" customFormat="1" ht="12" outlineLevel="1" x14ac:dyDescent="0.25">
      <c r="A106" s="335" t="s">
        <v>217</v>
      </c>
      <c r="B106" s="335">
        <f>SUM(B107:B114)</f>
        <v>0</v>
      </c>
      <c r="C106" s="335">
        <f t="shared" ref="C106:O106" si="36">SUM(C107:C114)</f>
        <v>0</v>
      </c>
      <c r="D106" s="335">
        <f t="shared" ca="1" si="36"/>
        <v>0</v>
      </c>
      <c r="E106" s="335">
        <f t="shared" si="36"/>
        <v>0</v>
      </c>
      <c r="F106" s="335">
        <f t="shared" si="36"/>
        <v>0</v>
      </c>
      <c r="G106" s="335">
        <f t="shared" si="36"/>
        <v>0</v>
      </c>
      <c r="H106" s="335">
        <f t="shared" si="36"/>
        <v>0</v>
      </c>
      <c r="I106" s="335">
        <f t="shared" si="36"/>
        <v>0</v>
      </c>
      <c r="J106" s="335">
        <f t="shared" si="36"/>
        <v>0</v>
      </c>
      <c r="K106" s="335">
        <f t="shared" si="36"/>
        <v>0</v>
      </c>
      <c r="L106" s="335">
        <f t="shared" si="36"/>
        <v>0</v>
      </c>
      <c r="M106" s="335">
        <f t="shared" ca="1" si="36"/>
        <v>0</v>
      </c>
      <c r="N106" s="335">
        <f t="shared" si="36"/>
        <v>0</v>
      </c>
      <c r="O106" s="335">
        <f t="shared" si="36"/>
        <v>0</v>
      </c>
      <c r="P106" s="335">
        <f t="shared" ca="1" si="28"/>
        <v>0</v>
      </c>
      <c r="Q106" s="275"/>
      <c r="R106" s="275"/>
      <c r="S106" s="275"/>
      <c r="T106" s="275"/>
      <c r="U106" s="275"/>
    </row>
    <row r="107" spans="1:21" s="249" customFormat="1" ht="12" outlineLevel="1" x14ac:dyDescent="0.25">
      <c r="A107" s="333" t="s">
        <v>206</v>
      </c>
      <c r="B107" s="329">
        <f>'Resumen Proy'!B15*'Resumen Proy'!C57*'Resumen Proy'!G56</f>
        <v>0</v>
      </c>
      <c r="C107" s="329"/>
      <c r="D107" s="329"/>
      <c r="E107" s="329"/>
      <c r="F107" s="329"/>
      <c r="G107" s="329"/>
      <c r="H107" s="329"/>
      <c r="I107" s="329"/>
      <c r="J107" s="329">
        <f>'Resumen Proy'!B15*'Resumen Proy'!I56*'Resumen Proy'!C57</f>
        <v>0</v>
      </c>
      <c r="K107" s="329"/>
      <c r="L107" s="329">
        <f>'Resumen Proy'!B15*'Resumen Proy'!J56*'Resumen Proy'!C57</f>
        <v>0</v>
      </c>
      <c r="M107" s="329"/>
      <c r="N107" s="329">
        <f>'Resumen Proy'!B15*'Resumen Proy'!C57*'Resumen Proy'!K56</f>
        <v>0</v>
      </c>
      <c r="O107" s="329"/>
      <c r="P107" s="354">
        <f>SUM(B107:O107)</f>
        <v>0</v>
      </c>
      <c r="Q107" s="275"/>
      <c r="R107" s="275"/>
      <c r="S107" s="275"/>
      <c r="T107" s="275"/>
      <c r="U107" s="329">
        <f ca="1">Camelina!B3*((SUMIF(Camelina!J8:J19,"MAYO",Camelina!E8:E18))+(SUMIF('Soja SS'!J8:J19,"MAYO",'Soja SS'!E8:E19)))</f>
        <v>0</v>
      </c>
    </row>
    <row r="108" spans="1:21" s="249" customFormat="1" ht="12" outlineLevel="1" x14ac:dyDescent="0.25">
      <c r="A108" s="333" t="s">
        <v>204</v>
      </c>
      <c r="B108" s="329"/>
      <c r="C108" s="329"/>
      <c r="D108" s="329">
        <f ca="1">Camelina!B3*((SUMIF(Camelina!J8:J19,"JULIO",Camelina!E8:E18))+(SUMIF('Soja SS'!J8:J19,"JULIO",'Soja SS'!E8:E19)))</f>
        <v>0</v>
      </c>
      <c r="E108" s="329"/>
      <c r="F108" s="329"/>
      <c r="G108" s="329"/>
      <c r="H108" s="329"/>
      <c r="I108" s="329"/>
      <c r="J108" s="329">
        <f>+C108</f>
        <v>0</v>
      </c>
      <c r="K108" s="329"/>
      <c r="L108" s="329">
        <f>+J108</f>
        <v>0</v>
      </c>
      <c r="M108" s="329">
        <f ca="1">Camelina!B3*((SUMIF(Camelina!J8:J19,"ABRIL",Camelina!E8:E18))+(SUMIF('Soja SS'!J8:J19,"ABRIL",'Soja SS'!E8:E19)))</f>
        <v>0</v>
      </c>
      <c r="O108" s="329"/>
      <c r="P108" s="329">
        <f t="shared" ca="1" si="28"/>
        <v>0</v>
      </c>
      <c r="Q108" s="275"/>
      <c r="R108" s="275"/>
      <c r="S108" s="275"/>
      <c r="T108" s="275"/>
      <c r="U108" s="275"/>
    </row>
    <row r="109" spans="1:21" s="249" customFormat="1" ht="12" outlineLevel="1" x14ac:dyDescent="0.25">
      <c r="A109" s="333" t="s">
        <v>218</v>
      </c>
      <c r="B109" s="329"/>
      <c r="C109" s="329"/>
      <c r="D109" s="329">
        <f>(Camelina!B3*SUMIF(Camelina!J39:J52,"JULIO",Camelina!E39:E52))+('Soja SS'!B3*SUMIF('Soja SS'!J38:J51,"JULIO",'Soja SS'!E38:E51))</f>
        <v>0</v>
      </c>
      <c r="E109" s="329"/>
      <c r="F109" s="329"/>
      <c r="G109" s="329"/>
      <c r="H109" s="329">
        <f>(Camelina!B3*SUMIF(Camelina!J39:J52,"NOVIEMBRE",Camelina!E39:E52))+('Soja SS'!B3*SUMIF('Soja SS'!J38:J51,"NOVIEMBRE",'Soja SS'!E38:E51))</f>
        <v>0</v>
      </c>
      <c r="I109" s="329">
        <f>(Camelina!B3*SUMIF(Camelina!J39:J52,"DICIEMBRE",Camelina!E39:E52))+('Soja SS'!B3*SUMIF('Soja SS'!J38:J51,"DICIEMBRE",'Soja SS'!E38:E51))</f>
        <v>0</v>
      </c>
      <c r="J109" s="329"/>
      <c r="K109" s="329"/>
      <c r="L109" s="329">
        <f>(Camelina!B3*SUMIF(Camelina!J39:J52,"MARZO",Camelina!E39:E52))+('Soja SS'!B3*SUMIF('Soja SS'!J38:J51,"MARZO",'Soja SS'!E38:E51))</f>
        <v>0</v>
      </c>
      <c r="M109" s="329"/>
      <c r="N109" s="329"/>
      <c r="O109" s="329"/>
      <c r="P109" s="329">
        <f t="shared" si="28"/>
        <v>0</v>
      </c>
      <c r="Q109" s="275"/>
      <c r="R109" s="275"/>
      <c r="S109" s="275"/>
      <c r="T109" s="275"/>
      <c r="U109" s="275"/>
    </row>
    <row r="110" spans="1:21" s="249" customFormat="1" ht="12" outlineLevel="1" x14ac:dyDescent="0.25">
      <c r="A110" s="333" t="s">
        <v>205</v>
      </c>
      <c r="B110" s="329"/>
      <c r="C110" s="329"/>
      <c r="D110" s="329"/>
      <c r="E110" s="329"/>
      <c r="F110" s="329"/>
      <c r="G110" s="329"/>
      <c r="H110" s="329">
        <f>(Camelina!B3*Camelina!E24)+('Soja SS'!E24*'Soja SS'!B3)</f>
        <v>0</v>
      </c>
      <c r="I110" s="329"/>
      <c r="J110" s="329"/>
      <c r="K110" s="329"/>
      <c r="L110" s="329"/>
      <c r="M110" s="329"/>
      <c r="N110" s="329"/>
      <c r="O110" s="329"/>
      <c r="P110" s="329">
        <f t="shared" si="28"/>
        <v>0</v>
      </c>
      <c r="Q110" s="275"/>
      <c r="R110" s="275"/>
      <c r="S110" s="275"/>
      <c r="T110" s="275"/>
      <c r="U110" s="275"/>
    </row>
    <row r="111" spans="1:21" s="249" customFormat="1" ht="12" outlineLevel="1" x14ac:dyDescent="0.25">
      <c r="A111" s="333" t="s">
        <v>140</v>
      </c>
      <c r="B111" s="329"/>
      <c r="C111" s="329"/>
      <c r="D111" s="329"/>
      <c r="E111" s="329"/>
      <c r="F111" s="329">
        <f>(Camelina!B3*SUMIF(Camelina!J33:J34,"SEPTIEMBRE",Camelina!E33:E34))+('Soja SS'!B3*SUMIF('Soja SS'!J33:J34,"SEPTIEMBRE",'Soja SS'!E33:E34))</f>
        <v>0</v>
      </c>
      <c r="G111" s="329">
        <f>(Camelina!B3*SUMIF(Camelina!J33:J34,"OCTUBRE",Camelina!E33:E34))+('Soja SS'!B3*SUMIF('Soja SS'!J33:J34,"OCTUBRE",'Soja SS'!E33:E34))</f>
        <v>0</v>
      </c>
      <c r="H111" s="329">
        <f>+Camelina!I34</f>
        <v>0</v>
      </c>
      <c r="I111" s="329">
        <f>(Camelina!B3*SUMIF(Camelina!J33:J34,"DICIEMBRE",Camelina!E33:E34))+('Soja SS'!B3*SUMIF('Soja SS'!J33:J34,"DICIEMBRE",'Soja SS'!E33:E34))</f>
        <v>0</v>
      </c>
      <c r="J111" s="329"/>
      <c r="K111" s="329"/>
      <c r="L111" s="329"/>
      <c r="M111" s="329"/>
      <c r="N111" s="329"/>
      <c r="O111" s="329"/>
      <c r="P111" s="329">
        <f t="shared" si="28"/>
        <v>0</v>
      </c>
      <c r="Q111" s="275"/>
      <c r="R111" s="275"/>
      <c r="S111" s="275"/>
      <c r="T111" s="275"/>
      <c r="U111" s="275"/>
    </row>
    <row r="112" spans="1:21" s="249" customFormat="1" ht="12" outlineLevel="1" x14ac:dyDescent="0.25">
      <c r="A112" s="333" t="s">
        <v>220</v>
      </c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>
        <f>(Camelina!B3*(Camelina!E56+Camelina!E75))+('Soja SS'!B3*('Soja SS'!E55+'Soja SS'!E65))</f>
        <v>0</v>
      </c>
      <c r="P112" s="329">
        <f t="shared" si="28"/>
        <v>0</v>
      </c>
      <c r="Q112" s="275"/>
      <c r="R112" s="275"/>
      <c r="S112" s="275"/>
      <c r="T112" s="275"/>
      <c r="U112" s="275"/>
    </row>
    <row r="113" spans="1:16" s="249" customFormat="1" ht="12" outlineLevel="1" x14ac:dyDescent="0.25">
      <c r="A113" s="333" t="s">
        <v>207</v>
      </c>
      <c r="B113" s="329"/>
      <c r="C113" s="329"/>
      <c r="D113" s="329"/>
      <c r="E113" s="329"/>
      <c r="F113" s="329">
        <f>((Camelina!B3*aquimsj1)+('Soja SS'!B3*'Soja SS'!aquimsj1))*0.1</f>
        <v>0</v>
      </c>
      <c r="G113" s="329">
        <f>((Camelina!B3*aquimsj1)+('Soja SS'!B3*'Soja SS'!aquimsj1))*0.1</f>
        <v>0</v>
      </c>
      <c r="H113" s="329">
        <f>((Camelina!B3*aquimsj1)+('Soja SS'!B3*'Soja SS'!aquimsj1))*0.1</f>
        <v>0</v>
      </c>
      <c r="I113" s="329">
        <f>((Camelina!B3*aquimsj1)+('Soja SS'!B3*'Soja SS'!aquimsj1))*0.1</f>
        <v>0</v>
      </c>
      <c r="J113" s="329">
        <f>((Camelina!B3*aquimsj1)+('Soja SS'!B3*'Soja SS'!aquimsj1))*0.1</f>
        <v>0</v>
      </c>
      <c r="K113" s="329">
        <f>((Camelina!B3*aquimsj1)+('Soja SS'!B3*'Soja SS'!aquimsj1))*0.1</f>
        <v>0</v>
      </c>
      <c r="L113" s="329">
        <f>((Camelina!B3*aquimsj1)+('Soja SS'!B3*'Soja SS'!aquimsj1))*0.1</f>
        <v>0</v>
      </c>
      <c r="M113" s="329">
        <f>((Camelina!B3*aquimsj1)+('Soja SS'!B3*'Soja SS'!aquimsj1))*0.1</f>
        <v>0</v>
      </c>
      <c r="N113" s="329">
        <f>((Camelina!B3*aquimsj1)+('Soja SS'!B3*'Soja SS'!aquimsj1))*0.1</f>
        <v>0</v>
      </c>
      <c r="O113" s="329">
        <f>((Camelina!B3*aquimsj1)+('Soja SS'!B3*'Soja SS'!aquimsj1))*0.1</f>
        <v>0</v>
      </c>
      <c r="P113" s="329">
        <f t="shared" si="28"/>
        <v>0</v>
      </c>
    </row>
    <row r="114" spans="1:16" s="249" customFormat="1" ht="12" outlineLevel="1" x14ac:dyDescent="0.25">
      <c r="A114" s="333" t="s">
        <v>221</v>
      </c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>
        <f>Camelina!E59*Camelina!B3+'Soja SS'!B3*'Soja SS'!E68</f>
        <v>0</v>
      </c>
      <c r="P114" s="329">
        <f t="shared" si="28"/>
        <v>0</v>
      </c>
    </row>
    <row r="115" spans="1:16" s="261" customFormat="1" ht="13.8" x14ac:dyDescent="0.3">
      <c r="A115" s="306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</row>
    <row r="116" spans="1:16" s="261" customFormat="1" ht="13.8" x14ac:dyDescent="0.3">
      <c r="A116" s="328" t="s">
        <v>229</v>
      </c>
      <c r="B116" s="329">
        <f>B118-B120</f>
        <v>0</v>
      </c>
      <c r="C116" s="329">
        <f t="shared" ref="C116:O116" ca="1" si="37">C118-C120</f>
        <v>0</v>
      </c>
      <c r="D116" s="329">
        <f t="shared" ca="1" si="37"/>
        <v>0</v>
      </c>
      <c r="E116" s="329">
        <f t="shared" ca="1" si="37"/>
        <v>0</v>
      </c>
      <c r="F116" s="329">
        <f t="shared" ca="1" si="37"/>
        <v>0</v>
      </c>
      <c r="G116" s="329">
        <f t="shared" ca="1" si="37"/>
        <v>0</v>
      </c>
      <c r="H116" s="329">
        <f t="shared" ca="1" si="37"/>
        <v>0</v>
      </c>
      <c r="I116" s="329">
        <f t="shared" ca="1" si="37"/>
        <v>0</v>
      </c>
      <c r="J116" s="329">
        <f t="shared" ca="1" si="37"/>
        <v>0</v>
      </c>
      <c r="K116" s="329">
        <f t="shared" ca="1" si="37"/>
        <v>0</v>
      </c>
      <c r="L116" s="329">
        <f t="shared" ca="1" si="37"/>
        <v>0</v>
      </c>
      <c r="M116" s="329">
        <f t="shared" si="37"/>
        <v>0</v>
      </c>
      <c r="N116" s="329">
        <f t="shared" si="37"/>
        <v>0</v>
      </c>
      <c r="O116" s="329">
        <f t="shared" si="37"/>
        <v>0</v>
      </c>
      <c r="P116" s="329">
        <f ca="1">SUM(B116:O116)</f>
        <v>0</v>
      </c>
    </row>
    <row r="117" spans="1:16" s="249" customFormat="1" ht="12" x14ac:dyDescent="0.25">
      <c r="A117" s="306"/>
      <c r="B117" s="329">
        <f>B116</f>
        <v>0</v>
      </c>
      <c r="C117" s="329">
        <f t="shared" ref="C117:O117" ca="1" si="38">B117+C116</f>
        <v>0</v>
      </c>
      <c r="D117" s="329">
        <f t="shared" ca="1" si="38"/>
        <v>0</v>
      </c>
      <c r="E117" s="329">
        <f t="shared" ca="1" si="38"/>
        <v>0</v>
      </c>
      <c r="F117" s="329">
        <f t="shared" ca="1" si="38"/>
        <v>0</v>
      </c>
      <c r="G117" s="329">
        <f t="shared" ca="1" si="38"/>
        <v>0</v>
      </c>
      <c r="H117" s="329">
        <f t="shared" ca="1" si="38"/>
        <v>0</v>
      </c>
      <c r="I117" s="329">
        <f t="shared" ca="1" si="38"/>
        <v>0</v>
      </c>
      <c r="J117" s="329">
        <f t="shared" ca="1" si="38"/>
        <v>0</v>
      </c>
      <c r="K117" s="329">
        <f t="shared" ca="1" si="38"/>
        <v>0</v>
      </c>
      <c r="L117" s="329">
        <f t="shared" ca="1" si="38"/>
        <v>0</v>
      </c>
      <c r="M117" s="329">
        <f t="shared" ca="1" si="38"/>
        <v>0</v>
      </c>
      <c r="N117" s="329">
        <f t="shared" ca="1" si="38"/>
        <v>0</v>
      </c>
      <c r="O117" s="329">
        <f t="shared" ca="1" si="38"/>
        <v>0</v>
      </c>
      <c r="P117" s="329">
        <f t="shared" ref="P117:P128" ca="1" si="39">SUM(B117:O117)</f>
        <v>0</v>
      </c>
    </row>
    <row r="118" spans="1:16" s="249" customFormat="1" ht="12" outlineLevel="1" x14ac:dyDescent="0.25">
      <c r="A118" s="331" t="s">
        <v>215</v>
      </c>
      <c r="B118" s="331">
        <f t="shared" ref="B118:O118" si="40">B119</f>
        <v>0</v>
      </c>
      <c r="C118" s="331">
        <f t="shared" si="40"/>
        <v>0</v>
      </c>
      <c r="D118" s="331">
        <f t="shared" si="40"/>
        <v>0</v>
      </c>
      <c r="E118" s="331">
        <f t="shared" si="40"/>
        <v>0</v>
      </c>
      <c r="F118" s="331">
        <f t="shared" si="40"/>
        <v>0</v>
      </c>
      <c r="G118" s="331">
        <f t="shared" si="40"/>
        <v>0</v>
      </c>
      <c r="H118" s="331">
        <f t="shared" si="40"/>
        <v>0</v>
      </c>
      <c r="I118" s="331">
        <f t="shared" si="40"/>
        <v>0</v>
      </c>
      <c r="J118" s="331">
        <f t="shared" si="40"/>
        <v>0</v>
      </c>
      <c r="K118" s="331">
        <f t="shared" si="40"/>
        <v>0</v>
      </c>
      <c r="L118" s="331">
        <f t="shared" si="40"/>
        <v>0</v>
      </c>
      <c r="M118" s="331">
        <f t="shared" si="40"/>
        <v>0</v>
      </c>
      <c r="N118" s="331">
        <f t="shared" si="40"/>
        <v>0</v>
      </c>
      <c r="O118" s="331">
        <f t="shared" si="40"/>
        <v>0</v>
      </c>
      <c r="P118" s="331">
        <f t="shared" si="39"/>
        <v>0</v>
      </c>
    </row>
    <row r="119" spans="1:16" s="249" customFormat="1" ht="12" outlineLevel="1" x14ac:dyDescent="0.25">
      <c r="A119" s="333" t="s">
        <v>216</v>
      </c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>
        <f>+'Girasol SP'!B89*'Girasol SP'!B3</f>
        <v>0</v>
      </c>
      <c r="P119" s="329">
        <f t="shared" si="39"/>
        <v>0</v>
      </c>
    </row>
    <row r="120" spans="1:16" s="249" customFormat="1" ht="12" outlineLevel="1" x14ac:dyDescent="0.25">
      <c r="A120" s="335" t="s">
        <v>217</v>
      </c>
      <c r="B120" s="335">
        <f>SUM(B121:B128)</f>
        <v>0</v>
      </c>
      <c r="C120" s="335">
        <f t="shared" ref="C120:M120" ca="1" si="41">SUM(C121:C128)</f>
        <v>0</v>
      </c>
      <c r="D120" s="335">
        <f t="shared" ca="1" si="41"/>
        <v>0</v>
      </c>
      <c r="E120" s="335">
        <f t="shared" ca="1" si="41"/>
        <v>0</v>
      </c>
      <c r="F120" s="335">
        <f t="shared" ca="1" si="41"/>
        <v>0</v>
      </c>
      <c r="G120" s="335">
        <f t="shared" ca="1" si="41"/>
        <v>0</v>
      </c>
      <c r="H120" s="335">
        <f t="shared" ca="1" si="41"/>
        <v>0</v>
      </c>
      <c r="I120" s="335">
        <f t="shared" ca="1" si="41"/>
        <v>0</v>
      </c>
      <c r="J120" s="335">
        <f t="shared" ca="1" si="41"/>
        <v>0</v>
      </c>
      <c r="K120" s="335">
        <f t="shared" ca="1" si="41"/>
        <v>0</v>
      </c>
      <c r="L120" s="335">
        <f t="shared" ca="1" si="41"/>
        <v>0</v>
      </c>
      <c r="M120" s="335">
        <f t="shared" si="41"/>
        <v>0</v>
      </c>
      <c r="N120" s="335">
        <f>SUM(N121:N128)</f>
        <v>0</v>
      </c>
      <c r="O120" s="335">
        <f>SUM(O121:O128)</f>
        <v>0</v>
      </c>
      <c r="P120" s="335">
        <f t="shared" ca="1" si="39"/>
        <v>0</v>
      </c>
    </row>
    <row r="121" spans="1:16" s="249" customFormat="1" ht="12" outlineLevel="1" x14ac:dyDescent="0.25">
      <c r="A121" s="333" t="s">
        <v>206</v>
      </c>
      <c r="B121" s="329">
        <f>+'[2]Alquileres por campo'!$D$60+'[2]Alquileres por campo'!$E$60</f>
        <v>0</v>
      </c>
      <c r="C121" s="329">
        <f>+'[2]Alquileres por campo'!F60</f>
        <v>0</v>
      </c>
      <c r="D121" s="329">
        <f>+'[2]Alquileres por campo'!G60</f>
        <v>0</v>
      </c>
      <c r="E121" s="329">
        <f>+'[2]Alquileres por campo'!H60</f>
        <v>0</v>
      </c>
      <c r="F121" s="329">
        <f>+'[2]Alquileres por campo'!I60</f>
        <v>0</v>
      </c>
      <c r="G121" s="329">
        <f>+'[2]Alquileres por campo'!J60</f>
        <v>0</v>
      </c>
      <c r="H121" s="329">
        <f>+'[2]Alquileres por campo'!K60</f>
        <v>0</v>
      </c>
      <c r="I121" s="329">
        <f>+'[2]Alquileres por campo'!L60</f>
        <v>0</v>
      </c>
      <c r="J121" s="329">
        <f>+'[2]Alquileres por campo'!M60</f>
        <v>0</v>
      </c>
      <c r="K121" s="329">
        <f>+'[2]Alquileres por campo'!N60</f>
        <v>0</v>
      </c>
      <c r="L121" s="329">
        <f>+'[2]Alquileres por campo'!O60</f>
        <v>0</v>
      </c>
      <c r="M121" s="329">
        <f>+'[2]Alquileres por campo'!P60</f>
        <v>0</v>
      </c>
      <c r="N121" s="329">
        <f>+'[2]Alquileres por campo'!Q60</f>
        <v>0</v>
      </c>
      <c r="O121" s="329">
        <f>+'[2]Alquileres por campo'!R60</f>
        <v>0</v>
      </c>
      <c r="P121" s="329">
        <f t="shared" si="39"/>
        <v>0</v>
      </c>
    </row>
    <row r="122" spans="1:16" s="249" customFormat="1" ht="12" outlineLevel="1" x14ac:dyDescent="0.25">
      <c r="A122" s="333" t="s">
        <v>204</v>
      </c>
      <c r="B122" s="329"/>
      <c r="C122" s="329"/>
      <c r="D122" s="329">
        <f>'Girasol SP'!B3*(SUMIF('Girasol SP'!J9:J22,"JULIO",'Girasol SP'!E9:E22))</f>
        <v>0</v>
      </c>
      <c r="E122" s="329">
        <f>'Girasol SP'!B3*(SUMIF('Girasol SP'!J9:J22,"AGOSTO",'Girasol SP'!E9:E22))</f>
        <v>0</v>
      </c>
      <c r="F122" s="329">
        <f>'Girasol SP'!B3*(SUMIF('Girasol SP'!J9:J22,"SEPTIEMBRE",'Girasol SP'!E9:E22))</f>
        <v>0</v>
      </c>
      <c r="G122" s="329">
        <f>'Girasol SP'!B3*(SUMIF('Girasol SP'!J9:J22,"OCTUBRE",'Girasol SP'!E9:E22))</f>
        <v>0</v>
      </c>
      <c r="H122" s="329">
        <f>'Girasol SP'!B3*(SUMIF('Girasol SP'!J9:J22,"NOVIEMBRE",'Girasol SP'!E9:E22))</f>
        <v>0</v>
      </c>
      <c r="I122" s="329">
        <f>'Girasol SP'!B3*(SUMIF('Girasol SP'!J9:J22,"DICIEMBRE",'Girasol SP'!E9:E22))</f>
        <v>0</v>
      </c>
      <c r="J122" s="329">
        <f>'Girasol SP'!B3*(SUMIF('Girasol SP'!J9:J22,"ENERO",'Girasol SP'!E9:E22))</f>
        <v>0</v>
      </c>
      <c r="K122" s="329">
        <f>'Girasol SP'!B3*(SUMIF('Girasol SP'!J9:J22,"FEBRERO",'Girasol SP'!E9:E22))</f>
        <v>0</v>
      </c>
      <c r="L122" s="329">
        <f>'Girasol SP'!B3*(SUMIF('Girasol SP'!J9:J22,"MARZO",'Girasol SP'!E9:E22))</f>
        <v>0</v>
      </c>
      <c r="M122" s="329">
        <f>'Girasol SP'!B3*(SUMIF('Girasol SP'!J9:J22,"ABRIL",'Girasol SP'!E9:E22))</f>
        <v>0</v>
      </c>
      <c r="N122" s="329">
        <f>'Girasol SP'!B3*(SUMIF('Girasol SP'!J9:J22,"MAYO",'Girasol SP'!E9:E22))</f>
        <v>0</v>
      </c>
      <c r="O122" s="329">
        <f>'Girasol SP'!B3*(SUMIF('Girasol SP'!J9:J22,"JUNIO",'Girasol SP'!E9:E22))</f>
        <v>0</v>
      </c>
      <c r="P122" s="329">
        <f>SUM(B122:O122)</f>
        <v>0</v>
      </c>
    </row>
    <row r="123" spans="1:16" s="249" customFormat="1" ht="12" outlineLevel="1" x14ac:dyDescent="0.25">
      <c r="A123" s="333" t="s">
        <v>218</v>
      </c>
      <c r="B123" s="329"/>
      <c r="C123" s="329">
        <f ca="1">(SUMIF('Girasol SP'!J41:J51,"JUNIO",'Girasol SP'!E41:E52)*'Girasol SP'!B3)+('Girasol SS'!B3*SUMIF('Girasol SS'!J39:J49,"JUNIO",'Girasol SS'!E40:E49))</f>
        <v>0</v>
      </c>
      <c r="D123" s="329">
        <f ca="1">(SUMIF('Girasol SP'!J41:J51,"JULIO",'Girasol SP'!E41:E52)*'Girasol SP'!B3)+('Girasol SS'!B3*SUMIF('Girasol SS'!J39:J49,"JULIO",'Girasol SS'!E40:E49))</f>
        <v>0</v>
      </c>
      <c r="E123" s="329">
        <f ca="1">(SUMIF('Girasol SP'!J41:J51,"AGOSTO",'Girasol SP'!E41:E52)*'Girasol SP'!B3)+('Girasol SS'!B3*SUMIF('Girasol SS'!J39:J49,"AGOSTO",'Girasol SS'!E40:E49))</f>
        <v>0</v>
      </c>
      <c r="F123" s="329">
        <f ca="1">(SUMIF('Girasol SP'!J41:J51,"SEPTIEMBRE",'Girasol SP'!E41:E52)*'Girasol SP'!B3)+('Girasol SS'!B3*SUMIF('Girasol SS'!J39:J49,"SEPTIEMBRE",'Girasol SS'!E40:E49))</f>
        <v>0</v>
      </c>
      <c r="G123" s="329">
        <f ca="1">(SUMIF('Girasol SP'!J41:J51,"OCTUBRE",'Girasol SP'!E41:E52)*'Girasol SP'!B3)+('Girasol SS'!B3*SUMIF('Girasol SS'!J39:J49,"OCTUBRE",'Girasol SS'!E40:E49))</f>
        <v>0</v>
      </c>
      <c r="H123" s="329">
        <f ca="1">(SUMIF('Girasol SP'!J41:J51,"NOVIEMBRE",'Girasol SP'!E41:E52)*'Girasol SP'!B3)+('Girasol SS'!B3*SUMIF('Girasol SS'!J39:J49,"NOVIEMBRE",'Girasol SS'!E40:E49))</f>
        <v>0</v>
      </c>
      <c r="I123" s="329">
        <f ca="1">(SUMIF('Girasol SP'!J41:J51,"DICIEMBRE",'Girasol SP'!E41:E52)*'Girasol SP'!B3)+('Girasol SS'!B3*SUMIF('Girasol SS'!J39:J49,"DICIEMBRE",'Girasol SS'!E40:E49))</f>
        <v>0</v>
      </c>
      <c r="J123" s="329">
        <f ca="1">(SUMIF('Girasol SP'!J41:J51,"ENERO",'Girasol SP'!E41:E52)*'Girasol SP'!B3)+('Girasol SS'!B3*SUMIF('Girasol SS'!J39:J49,"ENERO",'Girasol SS'!E40:E49))</f>
        <v>0</v>
      </c>
      <c r="K123" s="329">
        <f ca="1">(SUMIF('Girasol SP'!J41:J51,"FEBRERO",'Girasol SP'!E41:E52)*'Girasol SP'!B3)+('Girasol SS'!B3*SUMIF('Girasol SS'!J39:J49,"FEBRERO",'Girasol SS'!E40:E49))</f>
        <v>0</v>
      </c>
      <c r="L123" s="329">
        <f ca="1">(SUMIF('Girasol SP'!J41:J51,"MARZO",'Girasol SP'!E41:E52)*'Girasol SP'!B3)+('Girasol SS'!B3*SUMIF('Girasol SS'!J39:J49,"MARZO",'Girasol SS'!E40:E49))</f>
        <v>0</v>
      </c>
      <c r="M123" s="329"/>
      <c r="N123" s="329"/>
      <c r="O123" s="329"/>
      <c r="P123" s="329">
        <f t="shared" ca="1" si="39"/>
        <v>0</v>
      </c>
    </row>
    <row r="124" spans="1:16" s="249" customFormat="1" ht="12" outlineLevel="1" x14ac:dyDescent="0.25">
      <c r="A124" s="333" t="s">
        <v>140</v>
      </c>
      <c r="B124" s="329">
        <f>((SUMIF('Girasol SP'!J35:J36,"MAYO",'Girasol SP'!E35:E36))*'Girasol SP'!B3)+('Girasol SS'!B3*(SUMIF('Girasol SS'!J35:J36,"MAYO",'Girasol SS'!E35:E36)))</f>
        <v>0</v>
      </c>
      <c r="C124" s="329">
        <f>((SUMIF('Girasol SP'!J35:J36,"JUNIO",'Girasol SP'!E35:E36))*'Girasol SP'!B3)+('Girasol SS'!B3*(SUMIF('Girasol SS'!J35:J36,"JUNIO",'Girasol SS'!E35:E36)))</f>
        <v>0</v>
      </c>
      <c r="D124" s="329">
        <f>((SUMIF('Girasol SP'!J35:J36,"JULIO",'Girasol SP'!E35:E36))*'Girasol SP'!B3)+('Girasol SS'!B3*(SUMIF('Girasol SS'!J35:J36,"JULIO",'Girasol SS'!E35:E36)))</f>
        <v>0</v>
      </c>
      <c r="E124" s="329">
        <f>((SUMIF('Girasol SP'!J35:J36,"AGOSTO",'Girasol SP'!E35:E36))*'Girasol SP'!B3)+('Girasol SS'!B3*(SUMIF('Girasol SS'!J35:J36,"AGOSTO",'Girasol SS'!E35:E36)))</f>
        <v>0</v>
      </c>
      <c r="F124" s="329">
        <f>((SUMIF('Girasol SP'!J35:J36,"SEPTIEMBRE",'Girasol SP'!E35:E36))*'Girasol SP'!B3)+('Girasol SS'!B3*(SUMIF('Girasol SS'!J35:J36,"SEPTIEMBRE",'Girasol SS'!E35:E36)))</f>
        <v>0</v>
      </c>
      <c r="G124" s="329">
        <f>((SUMIF('Girasol SP'!J35:J36,"OCTUBRE",'Girasol SP'!E35:E36))*'Girasol SP'!B3)+('Girasol SS'!B3*(SUMIF('Girasol SS'!J35:J36,"OCTUBRE",'Girasol SS'!E35:E36)))</f>
        <v>0</v>
      </c>
      <c r="H124" s="329">
        <f>((SUMIF('Girasol SP'!J35:J36,"NOVIEMBRE",'Girasol SP'!E35:E36))*'Girasol SP'!B3)+('Girasol SS'!B3*(SUMIF('Girasol SS'!J35:J36,"NOVIEMBRE",'Girasol SS'!E35:E36)))</f>
        <v>0</v>
      </c>
      <c r="I124" s="329">
        <f>((SUMIF('Girasol SP'!J35:J36,"DICIEMBRE",'Girasol SP'!E35:E36))*'Girasol SP'!B3)+('Girasol SS'!B3*(SUMIF('Girasol SS'!J35:J36,"DICIEMBRE",'Girasol SS'!E35:E36)))</f>
        <v>0</v>
      </c>
      <c r="J124" s="329">
        <f>((SUMIF('Girasol SP'!J35:J36,"ENERO",'Girasol SP'!E35:E36))*'Girasol SP'!B3)+('Girasol SS'!B3*(SUMIF('Girasol SS'!J35:J36,"ENERO",'Girasol SS'!E35:E36)))</f>
        <v>0</v>
      </c>
      <c r="K124" s="329">
        <f>((SUMIF('Girasol SP'!J35:J36,"FEBRERO",'Girasol SP'!E35:E36))*'Girasol SP'!B3)+('Girasol SS'!B3*(SUMIF('Girasol SS'!J35:J36,"FEBRERO",'Girasol SS'!E35:E36)))</f>
        <v>0</v>
      </c>
      <c r="L124" s="329">
        <f>((SUMIF('Girasol SP'!J35:J36,"MARZO",'Girasol SP'!E35:E36))*'Girasol SP'!B3)+('Girasol SS'!B3*(SUMIF('Girasol SS'!J35:J36,"MARZO",'Girasol SS'!E35:E36)))</f>
        <v>0</v>
      </c>
      <c r="M124" s="329">
        <f>((SUMIF('Girasol SP'!J35:J36,"ABRIL",'Girasol SP'!E35:E36))*'Girasol SP'!B3)+('Girasol SS'!B3*(SUMIF('Girasol SS'!J35:J36,"ABRIL",'Girasol SS'!E35:E36)))</f>
        <v>0</v>
      </c>
      <c r="N124" s="329">
        <f>((SUMIF('Girasol SP'!J35:J36,"MAYO",'Girasol SP'!E35:E36))*'Girasol SP'!B3)+('Girasol SS'!B3*(SUMIF('Girasol SS'!J35:J36,"MAYO",'Girasol SS'!E35:E36)))</f>
        <v>0</v>
      </c>
      <c r="O124" s="329">
        <f>((SUMIF('Girasol SP'!J35:J36,"JUNIO",'Girasol SP'!E35:E36))*'Girasol SP'!B3)+('Girasol SS'!B3*(SUMIF('Girasol SS'!J35:J36,"JUNIO",'Girasol SS'!E35:E36)))</f>
        <v>0</v>
      </c>
      <c r="P124" s="329">
        <f t="shared" si="39"/>
        <v>0</v>
      </c>
    </row>
    <row r="125" spans="1:16" s="249" customFormat="1" ht="12" outlineLevel="1" x14ac:dyDescent="0.25">
      <c r="A125" s="333" t="s">
        <v>205</v>
      </c>
      <c r="B125" s="329"/>
      <c r="C125" s="329"/>
      <c r="D125" s="329"/>
      <c r="E125" s="329"/>
      <c r="F125" s="329"/>
      <c r="H125" s="329">
        <f>'Girasol SP'!B3*'Girasol SP'!E26+'Girasol SS'!B3*'Girasol SS'!E26</f>
        <v>0</v>
      </c>
      <c r="I125" s="329"/>
      <c r="J125" s="329"/>
      <c r="K125" s="329"/>
      <c r="L125" s="329"/>
      <c r="M125" s="329"/>
      <c r="N125" s="329"/>
      <c r="O125" s="329"/>
      <c r="P125" s="329">
        <f t="shared" si="39"/>
        <v>0</v>
      </c>
    </row>
    <row r="126" spans="1:16" s="249" customFormat="1" ht="12" outlineLevel="1" x14ac:dyDescent="0.25">
      <c r="A126" s="333" t="s">
        <v>220</v>
      </c>
      <c r="B126" s="329"/>
      <c r="C126" s="329"/>
      <c r="D126" s="329"/>
      <c r="E126" s="329"/>
      <c r="F126" s="329"/>
      <c r="G126" s="329"/>
      <c r="H126" s="329"/>
      <c r="I126" s="329"/>
      <c r="J126" s="329"/>
      <c r="K126" s="329">
        <f>0.5*(('Girasol SP'!B3*('Girasol SP'!E77+'Girasol SP'!E56))+('Girasol SS'!B3*('Girasol SS'!E53+'Girasol SS'!E63)))</f>
        <v>0</v>
      </c>
      <c r="L126" s="329">
        <f>0.5*(('Girasol SP'!B3*('Girasol SP'!E77+'Girasol SP'!E56))+('Girasol SS'!B3*('Girasol SS'!E53+'Girasol SS'!E63)))</f>
        <v>0</v>
      </c>
      <c r="M126" s="329"/>
      <c r="N126" s="329"/>
      <c r="O126" s="329"/>
      <c r="P126" s="329">
        <f t="shared" si="39"/>
        <v>0</v>
      </c>
    </row>
    <row r="127" spans="1:16" s="249" customFormat="1" ht="12" outlineLevel="1" x14ac:dyDescent="0.25">
      <c r="A127" s="333" t="s">
        <v>207</v>
      </c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>
        <f>SUM(B127:O127)</f>
        <v>0</v>
      </c>
    </row>
    <row r="128" spans="1:16" s="249" customFormat="1" ht="12" outlineLevel="1" x14ac:dyDescent="0.25">
      <c r="A128" s="333" t="s">
        <v>221</v>
      </c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>
        <f>'Girasol SP'!E60*'Girasol SP'!B3+'Girasol SS'!E67*'Girasol SS'!B3</f>
        <v>0</v>
      </c>
      <c r="M128" s="329"/>
      <c r="N128" s="329"/>
      <c r="O128" s="329"/>
      <c r="P128" s="329">
        <f t="shared" si="39"/>
        <v>0</v>
      </c>
    </row>
    <row r="130" spans="1:17" s="261" customFormat="1" ht="13.8" x14ac:dyDescent="0.3">
      <c r="A130" s="328" t="s">
        <v>230</v>
      </c>
      <c r="B130" s="329">
        <f>B132-B134</f>
        <v>0</v>
      </c>
      <c r="C130" s="329">
        <f t="shared" ref="C130:O130" ca="1" si="42">C132-C134</f>
        <v>0</v>
      </c>
      <c r="D130" s="329">
        <f t="shared" ca="1" si="42"/>
        <v>0</v>
      </c>
      <c r="E130" s="329">
        <f t="shared" ca="1" si="42"/>
        <v>0</v>
      </c>
      <c r="F130" s="329">
        <f t="shared" ca="1" si="42"/>
        <v>0</v>
      </c>
      <c r="G130" s="329">
        <f t="shared" ca="1" si="42"/>
        <v>0</v>
      </c>
      <c r="H130" s="329">
        <f t="shared" ca="1" si="42"/>
        <v>0</v>
      </c>
      <c r="I130" s="329">
        <f t="shared" ca="1" si="42"/>
        <v>0</v>
      </c>
      <c r="J130" s="329">
        <f t="shared" ca="1" si="42"/>
        <v>0</v>
      </c>
      <c r="K130" s="329">
        <f t="shared" ca="1" si="42"/>
        <v>0</v>
      </c>
      <c r="L130" s="329">
        <f t="shared" ca="1" si="42"/>
        <v>0</v>
      </c>
      <c r="M130" s="329">
        <f t="shared" si="42"/>
        <v>0</v>
      </c>
      <c r="N130" s="329">
        <f t="shared" si="42"/>
        <v>0</v>
      </c>
      <c r="O130" s="329">
        <f t="shared" si="42"/>
        <v>0</v>
      </c>
      <c r="P130" s="329">
        <f ca="1">SUM(B130:O130)</f>
        <v>0</v>
      </c>
      <c r="Q130" s="264"/>
    </row>
    <row r="131" spans="1:17" s="249" customFormat="1" ht="12" x14ac:dyDescent="0.25">
      <c r="A131" s="306"/>
      <c r="B131" s="329">
        <f>B130</f>
        <v>0</v>
      </c>
      <c r="C131" s="329">
        <f t="shared" ref="C131:O131" ca="1" si="43">B131+C130</f>
        <v>0</v>
      </c>
      <c r="D131" s="329">
        <f t="shared" ca="1" si="43"/>
        <v>0</v>
      </c>
      <c r="E131" s="329">
        <f t="shared" ca="1" si="43"/>
        <v>0</v>
      </c>
      <c r="F131" s="329">
        <f t="shared" ca="1" si="43"/>
        <v>0</v>
      </c>
      <c r="G131" s="329">
        <f t="shared" ca="1" si="43"/>
        <v>0</v>
      </c>
      <c r="H131" s="329">
        <f t="shared" ca="1" si="43"/>
        <v>0</v>
      </c>
      <c r="I131" s="329">
        <f t="shared" ca="1" si="43"/>
        <v>0</v>
      </c>
      <c r="J131" s="329">
        <f t="shared" ca="1" si="43"/>
        <v>0</v>
      </c>
      <c r="K131" s="329">
        <f t="shared" ca="1" si="43"/>
        <v>0</v>
      </c>
      <c r="L131" s="329">
        <f t="shared" ca="1" si="43"/>
        <v>0</v>
      </c>
      <c r="M131" s="329">
        <f t="shared" ca="1" si="43"/>
        <v>0</v>
      </c>
      <c r="N131" s="329">
        <f t="shared" ca="1" si="43"/>
        <v>0</v>
      </c>
      <c r="O131" s="329">
        <f t="shared" ca="1" si="43"/>
        <v>0</v>
      </c>
      <c r="P131" s="329">
        <f t="shared" ref="P131:P142" ca="1" si="44">SUM(B131:O131)</f>
        <v>0</v>
      </c>
      <c r="Q131" s="275"/>
    </row>
    <row r="132" spans="1:17" s="249" customFormat="1" ht="12" outlineLevel="1" x14ac:dyDescent="0.25">
      <c r="A132" s="331" t="s">
        <v>215</v>
      </c>
      <c r="B132" s="331">
        <f t="shared" ref="B132:O132" si="45">B133</f>
        <v>0</v>
      </c>
      <c r="C132" s="331">
        <f t="shared" si="45"/>
        <v>0</v>
      </c>
      <c r="D132" s="331">
        <f t="shared" si="45"/>
        <v>0</v>
      </c>
      <c r="E132" s="331">
        <f t="shared" si="45"/>
        <v>0</v>
      </c>
      <c r="F132" s="331">
        <f t="shared" si="45"/>
        <v>0</v>
      </c>
      <c r="G132" s="331">
        <f t="shared" si="45"/>
        <v>0</v>
      </c>
      <c r="H132" s="331">
        <f t="shared" si="45"/>
        <v>0</v>
      </c>
      <c r="I132" s="331">
        <f t="shared" si="45"/>
        <v>0</v>
      </c>
      <c r="J132" s="331">
        <f t="shared" si="45"/>
        <v>0</v>
      </c>
      <c r="K132" s="331">
        <f t="shared" si="45"/>
        <v>0</v>
      </c>
      <c r="L132" s="331">
        <f t="shared" si="45"/>
        <v>0</v>
      </c>
      <c r="M132" s="331">
        <f t="shared" si="45"/>
        <v>0</v>
      </c>
      <c r="N132" s="331">
        <f t="shared" si="45"/>
        <v>0</v>
      </c>
      <c r="O132" s="331">
        <f t="shared" si="45"/>
        <v>0</v>
      </c>
      <c r="P132" s="331">
        <f>SUM(B132:O132)</f>
        <v>0</v>
      </c>
      <c r="Q132" s="275"/>
    </row>
    <row r="133" spans="1:17" s="249" customFormat="1" ht="12" outlineLevel="1" x14ac:dyDescent="0.25">
      <c r="A133" s="333" t="s">
        <v>216</v>
      </c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>
        <f>+'Girasol O SP'!B87*'Girasol O SP'!B3</f>
        <v>0</v>
      </c>
      <c r="P133" s="329">
        <f t="shared" si="44"/>
        <v>0</v>
      </c>
      <c r="Q133" s="275"/>
    </row>
    <row r="134" spans="1:17" s="249" customFormat="1" ht="12" outlineLevel="1" x14ac:dyDescent="0.25">
      <c r="A134" s="335" t="s">
        <v>217</v>
      </c>
      <c r="B134" s="335">
        <f>SUM(B135:B142)</f>
        <v>0</v>
      </c>
      <c r="C134" s="335">
        <f t="shared" ref="C134:O134" ca="1" si="46">SUM(C135:C142)</f>
        <v>0</v>
      </c>
      <c r="D134" s="335">
        <f t="shared" ca="1" si="46"/>
        <v>0</v>
      </c>
      <c r="E134" s="335">
        <f t="shared" ca="1" si="46"/>
        <v>0</v>
      </c>
      <c r="F134" s="335">
        <f t="shared" ca="1" si="46"/>
        <v>0</v>
      </c>
      <c r="G134" s="335">
        <f t="shared" ca="1" si="46"/>
        <v>0</v>
      </c>
      <c r="H134" s="335">
        <f t="shared" ca="1" si="46"/>
        <v>0</v>
      </c>
      <c r="I134" s="335">
        <f t="shared" ca="1" si="46"/>
        <v>0</v>
      </c>
      <c r="J134" s="335">
        <f t="shared" ca="1" si="46"/>
        <v>0</v>
      </c>
      <c r="K134" s="335">
        <f t="shared" ca="1" si="46"/>
        <v>0</v>
      </c>
      <c r="L134" s="335">
        <f t="shared" ca="1" si="46"/>
        <v>0</v>
      </c>
      <c r="M134" s="335">
        <f t="shared" si="46"/>
        <v>0</v>
      </c>
      <c r="N134" s="335">
        <f t="shared" si="46"/>
        <v>0</v>
      </c>
      <c r="O134" s="335">
        <f t="shared" si="46"/>
        <v>0</v>
      </c>
      <c r="P134" s="335">
        <f t="shared" ca="1" si="44"/>
        <v>0</v>
      </c>
      <c r="Q134" s="275"/>
    </row>
    <row r="135" spans="1:17" s="249" customFormat="1" ht="12" outlineLevel="1" x14ac:dyDescent="0.25">
      <c r="A135" s="333" t="s">
        <v>206</v>
      </c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>
        <f t="shared" si="44"/>
        <v>0</v>
      </c>
      <c r="Q135" s="275"/>
    </row>
    <row r="136" spans="1:17" s="249" customFormat="1" ht="12" outlineLevel="1" x14ac:dyDescent="0.25">
      <c r="A136" s="333" t="s">
        <v>204</v>
      </c>
      <c r="B136" s="329"/>
      <c r="C136" s="329">
        <f>('Girasol O SP'!B3*SUMIF('Girasol O SP'!J8:J21,"JUNIO",'Girasol O SP'!E8:E21))+('Girasol O SS'!B3*SUMIF('Girasol O SS'!J8:J20,"JUNIO",'Girasol O SS'!E8:E20))</f>
        <v>0</v>
      </c>
      <c r="D136" s="329">
        <f>(('Girasol O SP'!B3*SUMIF('Girasol O SP'!J8:J21,"JULIO",'Girasol O SP'!E8:E21))+('Girasol O SS'!B3*SUMIF('Girasol O SS'!J8:J20,"JULIO",'Girasol O SS'!E8:E20)))/9*'Tipo de Cambio Proyectado'!B4</f>
        <v>0</v>
      </c>
      <c r="E136" s="329">
        <f>('Girasol O SP'!B3*SUMIF('Girasol O SP'!J8:J21,"AGOSTO",'Girasol O SP'!E8:E21))+('Girasol O SS'!B3*SUMIF('Girasol O SS'!J8:J20,"AGOSTO",'Girasol O SS'!E8:E20))</f>
        <v>0</v>
      </c>
      <c r="F136" s="329">
        <f>('Girasol O SP'!B3*SUMIF('Girasol O SP'!J8:J21,"SEPTIEMBRE",'Girasol O SP'!E8:E21))+('Girasol O SS'!B3*SUMIF('Girasol O SS'!J8:J20,"SEPTIEMBRE",'Girasol O SS'!E8:E20))</f>
        <v>0</v>
      </c>
      <c r="G136" s="329">
        <f>(('Girasol O SP'!B3*SUMIF('Girasol O SP'!J8:J21,"OCTUBRE",'Girasol O SP'!E8:E21))+('Girasol O SS'!B3*SUMIF('Girasol O SS'!J8:J20,"OCTUBRE",'Girasol O SS'!E8:E20)))/9*'Tipo de Cambio Proyectado'!B7</f>
        <v>0</v>
      </c>
      <c r="H136" s="329">
        <f>((('Girasol O SP'!B3*SUMIF('Girasol O SP'!J8:J21,"NOVIEMBRE",'Girasol O SP'!E8:E21))+('Girasol O SS'!B3*SUMIF('Girasol O SS'!J8:J20,"NOVIEMBRE",'Girasol O SS'!E8:E20))))/9*'Tipo de Cambio Proyectado'!B8</f>
        <v>0</v>
      </c>
      <c r="I136" s="329">
        <f>((('Girasol O SP'!B3*SUMIF('Girasol O SP'!J8:J21,"DICIEMBRE",'Girasol O SP'!E8:E21))+('Girasol O SS'!B3*SUMIF('Girasol O SS'!J8:J20,"DICIEMBRE",'Girasol O SS'!E8:E20))))/9*'Tipo de Cambio Proyectado'!B8</f>
        <v>0</v>
      </c>
      <c r="J136" s="329">
        <f>(('Girasol O SP'!B3*SUMIF('Girasol O SP'!J8:J21,"ENERO",'Girasol O SP'!E8:E21))+('Girasol O SS'!B3*SUMIF('Girasol O SS'!J8:J20,"ENERO",'Girasol O SS'!E8:E20)))/9*'Tipo de Cambio Proyectado'!B10</f>
        <v>0</v>
      </c>
      <c r="K136" s="329">
        <f>('Girasol O SP'!B3*SUMIF('Girasol O SP'!J8:J21,"FEBRERO",'Girasol O SP'!E8:E21))+('Girasol O SS'!B3*SUMIF('Girasol O SS'!J8:J20,"FEBRERO",'Girasol O SS'!E8:E20))</f>
        <v>0</v>
      </c>
      <c r="L136" s="329">
        <f>('Girasol O SP'!B3*SUMIF('Girasol O SP'!J8:J21,"MARZO",'Girasol O SP'!E8:E21))+('Girasol O SS'!B3*SUMIF('Girasol O SS'!J8:J20,"MARZO",'Girasol O SS'!E8:E20))</f>
        <v>0</v>
      </c>
      <c r="M136" s="329">
        <f>('Girasol O SP'!B3*SUMIF('Girasol O SP'!J8:J21,"abril",'Girasol O SP'!E8:E21))+('Girasol O SS'!B3*SUMIF('Girasol O SS'!J8:J20,"abril",'Girasol O SS'!E8:E20))</f>
        <v>0</v>
      </c>
      <c r="N136" s="329"/>
      <c r="O136" s="329"/>
      <c r="P136" s="329">
        <f t="shared" si="44"/>
        <v>0</v>
      </c>
      <c r="Q136" s="275"/>
    </row>
    <row r="137" spans="1:17" s="249" customFormat="1" ht="12" outlineLevel="1" x14ac:dyDescent="0.25">
      <c r="A137" s="333" t="s">
        <v>218</v>
      </c>
      <c r="B137" s="329"/>
      <c r="C137" s="329">
        <f ca="1">('Girasol O SP'!B3*SUMIF('Girasol O SP'!J40:J51,"JUNIO",'Girasol O SP'!E40:E51))+('Girasol O SS'!B3*SUMIF('Girasol O SS'!J37:J47,"JUNIO",'Girasol O SS'!E38:E47))</f>
        <v>0</v>
      </c>
      <c r="D137" s="329">
        <f ca="1">('Girasol O SP'!B3*SUMIF('Girasol O SP'!J40:J51,"JULIO",'Girasol O SP'!E40:E51))+('Girasol O SS'!B3*SUMIF('Girasol O SS'!J37:J47,"JULIO",'Girasol O SS'!E38:E47))</f>
        <v>0</v>
      </c>
      <c r="E137" s="329">
        <f ca="1">('Girasol O SP'!B3*SUMIF('Girasol O SP'!J40:J51,"AGOSTO",'Girasol O SP'!E40:E51))+('Girasol O SS'!B3*SUMIF('Girasol O SS'!J37:J47,"AGOSTO",'Girasol O SS'!E38:E47))</f>
        <v>0</v>
      </c>
      <c r="F137" s="329">
        <f ca="1">('Girasol O SP'!B3*SUMIF('Girasol O SP'!J40:J51,"SEPTIEMBRE",'Girasol O SP'!E40:E51))+('Girasol O SS'!B3*SUMIF('Girasol O SS'!J37:J47,"SEPTIEMBRE",'Girasol O SS'!E38:E47))</f>
        <v>0</v>
      </c>
      <c r="G137" s="329">
        <f ca="1">('Girasol O SP'!B3*SUMIF('Girasol O SP'!J40:J51,"OCTUBRE",'Girasol O SP'!E40:E51))+('Girasol O SS'!B3*SUMIF('Girasol O SS'!J37:J47,"OCTUBRE",'Girasol O SS'!E38:E47))</f>
        <v>0</v>
      </c>
      <c r="H137" s="329">
        <f ca="1">('Girasol O SP'!B3*SUMIF('Girasol O SP'!J40:J51,"NOVIEMBRE",'Girasol O SP'!E40:E51))+('Girasol O SS'!B3*SUMIF('Girasol O SS'!J37:J47,"NOVIEMBRE",'Girasol O SS'!E38:E47))</f>
        <v>0</v>
      </c>
      <c r="I137" s="329">
        <f ca="1">('Girasol O SP'!B3*SUMIF('Girasol O SP'!J40:J51,"DICIEMBRE",'Girasol O SP'!E40:E51))+('Girasol O SS'!B3*SUMIF('Girasol O SS'!J37:J47,"DICIEMBRE",'Girasol O SS'!E38:E47))</f>
        <v>0</v>
      </c>
      <c r="J137" s="329">
        <f ca="1">('Girasol O SP'!B3*SUMIF('Girasol O SP'!J40:J51,"ENERO",'Girasol O SP'!E40:E51))+('Girasol O SS'!B3*SUMIF('Girasol O SS'!J37:J47,"ENERO",'Girasol O SS'!E38:E47))</f>
        <v>0</v>
      </c>
      <c r="K137" s="329">
        <f ca="1">('Girasol O SP'!B3*SUMIF('Girasol O SP'!J40:J51,"FEBRERO",'Girasol O SP'!E40:E51))+('Girasol O SS'!B3*SUMIF('Girasol O SS'!J37:J47,"FEBRERO",'Girasol O SS'!E38:E47))</f>
        <v>0</v>
      </c>
      <c r="L137" s="329">
        <f ca="1">('Girasol O SP'!B3*SUMIF('Girasol O SP'!J40:J51,"MARZO",'Girasol O SP'!E40:E51))+('Girasol O SS'!B3*SUMIF('Girasol O SS'!J37:J47,"MARZO",'Girasol O SS'!E38:E47))</f>
        <v>0</v>
      </c>
      <c r="M137" s="329"/>
      <c r="N137" s="329"/>
      <c r="O137" s="329"/>
      <c r="P137" s="329">
        <f t="shared" ca="1" si="44"/>
        <v>0</v>
      </c>
      <c r="Q137" s="275"/>
    </row>
    <row r="138" spans="1:17" s="249" customFormat="1" ht="12" outlineLevel="1" x14ac:dyDescent="0.25">
      <c r="A138" s="333" t="s">
        <v>205</v>
      </c>
      <c r="B138" s="329"/>
      <c r="C138" s="329"/>
      <c r="D138" s="329"/>
      <c r="E138" s="329"/>
      <c r="F138" s="329"/>
      <c r="G138" s="329"/>
      <c r="H138" s="329"/>
      <c r="I138" s="329"/>
      <c r="J138" s="329">
        <f>'Girasol O SP'!B3*'Girasol O SP'!E24</f>
        <v>0</v>
      </c>
      <c r="K138" s="329"/>
      <c r="L138" s="329"/>
      <c r="M138" s="329"/>
      <c r="N138" s="329"/>
      <c r="O138" s="329"/>
      <c r="P138" s="329">
        <f t="shared" si="44"/>
        <v>0</v>
      </c>
      <c r="Q138" s="275"/>
    </row>
    <row r="139" spans="1:17" s="249" customFormat="1" ht="12" outlineLevel="1" x14ac:dyDescent="0.25">
      <c r="A139" s="333" t="s">
        <v>140</v>
      </c>
      <c r="B139" s="329">
        <f>('Girasol O SP'!B3*SUMIF('Girasol O SP'!J34:J35,"MAYO",'Girasol O SP'!E34:E35))+('Girasol O SS'!B3*SUMIF('Girasol O SS'!J33:J34,"MAYO",'Girasol O SS'!E33:E34))</f>
        <v>0</v>
      </c>
      <c r="C139" s="329">
        <f>('Girasol O SP'!B3*SUMIF('Girasol O SP'!J34:J35,"JUNIO",'Girasol O SP'!E34:E35))+('Girasol O SS'!B3*SUMIF('Girasol O SS'!J33:J34,"JUNIO",'Girasol O SS'!E33:E34))</f>
        <v>0</v>
      </c>
      <c r="D139" s="329">
        <f>('Girasol O SP'!B3*SUMIF('Girasol O SP'!J34:J35,"JULIO",'Girasol O SP'!E34:E35))+('Girasol O SS'!B3*SUMIF('Girasol O SS'!J33:J34,"JULIO",'Girasol O SS'!E33:E34))</f>
        <v>0</v>
      </c>
      <c r="E139" s="329">
        <f>('Girasol O SP'!B3*SUMIF('Girasol O SP'!J34:J35,"AGOSTO",'Girasol O SP'!E34:E35))+('Girasol O SS'!B3*SUMIF('Girasol O SS'!J33:J34,"AGOSTO",'Girasol O SS'!E33:E34))</f>
        <v>0</v>
      </c>
      <c r="F139" s="329">
        <f>('Girasol O SP'!B3*SUMIF('Girasol O SP'!J34:J35,"SEPTIEMBRE",'Girasol O SP'!E34:E35))+('Girasol O SS'!B3*SUMIF('Girasol O SS'!J33:J34,"SEPTIEMBRE",'Girasol O SS'!E33:E34))</f>
        <v>0</v>
      </c>
      <c r="G139" s="329">
        <f>('Girasol O SP'!B3*SUMIF('Girasol O SP'!J34:J35,"OCTUBRE",'Girasol O SP'!E34:E35))+('Girasol O SS'!B3*SUMIF('Girasol O SS'!J33:J34,"OCTUBREBRE",'Girasol O SS'!E33:E34))</f>
        <v>0</v>
      </c>
      <c r="H139" s="329">
        <f>('Girasol O SP'!B3*SUMIF('Girasol O SP'!J34:J35,"NOVIEMBRE",'Girasol O SP'!E34:E35))+('Girasol O SS'!B3*SUMIF('Girasol O SS'!J33:J34,"NOVIEMBRE",'Girasol O SS'!E33:E34))</f>
        <v>0</v>
      </c>
      <c r="I139" s="329">
        <f>('Girasol O SP'!B3*SUMIF('Girasol O SP'!J34:J35,"DICIEMBRE",'Girasol O SP'!E34:E35))+('Girasol O SS'!B3*SUMIF('Girasol O SS'!J33:J34,"DICIEMBRE",'Girasol O SS'!E33:E34))</f>
        <v>0</v>
      </c>
      <c r="J139" s="329">
        <f>('Girasol O SP'!B3*SUMIF('Girasol O SP'!J34:J35,"ENERO",'Girasol O SP'!E34:E35))+('Girasol O SS'!B3*SUMIF('Girasol O SS'!J33:J34,"ENERO",'Girasol O SS'!E33:E34))</f>
        <v>0</v>
      </c>
      <c r="K139" s="329">
        <f>('Girasol O SP'!B3*SUMIF('Girasol O SP'!J34:J35,"FEBRERO",'Girasol O SP'!E34:E35))+('Girasol O SS'!B3*SUMIF('Girasol O SS'!J33:J34,"FEBRERO",'Girasol O SS'!E33:E34))</f>
        <v>0</v>
      </c>
      <c r="L139" s="329">
        <f>('Girasol O SP'!B3*SUMIF('Girasol O SP'!J34:J35,"MARZO",'Girasol O SP'!E34:E35))+('Girasol O SS'!B3*SUMIF('Girasol O SS'!J33:J34,"MARZO",'Girasol O SS'!E33:E34))</f>
        <v>0</v>
      </c>
      <c r="M139" s="329">
        <f>('Girasol O SP'!B3*SUMIF('Girasol O SP'!J34:J35,"ABRIL",'Girasol O SP'!E34:E35))+('Girasol O SS'!B3*SUMIF('Girasol O SS'!J33:J34,"ABRIL",'Girasol O SS'!E33:E34))</f>
        <v>0</v>
      </c>
      <c r="N139" s="329">
        <f>('Girasol O SP'!B3*SUMIF('Girasol O SP'!J34:J35,"MAYO",'Girasol O SP'!E34:E35))+('Girasol O SS'!B3*SUMIF('Girasol O SS'!J33:J34,"MAYO",'Girasol O SS'!E33:E34))</f>
        <v>0</v>
      </c>
      <c r="O139" s="329">
        <f>('Girasol O SP'!B3*SUMIF('Girasol O SP'!J34:J35,"JUNIO",'Girasol O SP'!E34:E35))+('Girasol O SS'!B3*SUMIF('Girasol O SS'!J33:J34,"JUNIO",'Girasol O SS'!E33:E34))</f>
        <v>0</v>
      </c>
      <c r="P139" s="329">
        <f t="shared" si="44"/>
        <v>0</v>
      </c>
      <c r="Q139" s="275"/>
    </row>
    <row r="140" spans="1:17" s="249" customFormat="1" ht="12" outlineLevel="1" x14ac:dyDescent="0.25">
      <c r="A140" s="333" t="s">
        <v>220</v>
      </c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>
        <f>(('Girasol O SP'!B3*('Girasol O SP'!E55+'Girasol O SP'!E73))+(('Girasol O SS'!B3*('Girasol O SS'!E61+'Girasol O SS'!E65))))/9*'Tipo de Cambio Proyectado'!B12</f>
        <v>0</v>
      </c>
      <c r="M140" s="329"/>
      <c r="N140" s="329"/>
      <c r="O140" s="329"/>
      <c r="P140" s="329">
        <f t="shared" si="44"/>
        <v>0</v>
      </c>
      <c r="Q140" s="275"/>
    </row>
    <row r="141" spans="1:17" s="249" customFormat="1" ht="12" outlineLevel="1" x14ac:dyDescent="0.25">
      <c r="A141" s="333" t="s">
        <v>207</v>
      </c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>
        <f t="shared" si="44"/>
        <v>0</v>
      </c>
      <c r="Q141" s="275"/>
    </row>
    <row r="142" spans="1:17" s="249" customFormat="1" ht="12" outlineLevel="1" x14ac:dyDescent="0.25">
      <c r="A142" s="333" t="s">
        <v>221</v>
      </c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>
        <f>('Girasol O SP'!E58*'Girasol O SP'!B3)+('Girasol O SS'!E65*'Girasol O SS'!B3)</f>
        <v>0</v>
      </c>
      <c r="M142" s="329"/>
      <c r="N142" s="329"/>
      <c r="O142" s="329"/>
      <c r="P142" s="329">
        <f t="shared" si="44"/>
        <v>0</v>
      </c>
      <c r="Q142" s="275"/>
    </row>
    <row r="143" spans="1:17" s="261" customFormat="1" ht="13.8" x14ac:dyDescent="0.3">
      <c r="A143" s="338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264">
        <f>+Q134+Q120+Q92+Q52+Q38</f>
        <v>0</v>
      </c>
    </row>
    <row r="144" spans="1:17" s="261" customFormat="1" ht="13.8" outlineLevel="1" x14ac:dyDescent="0.3"/>
    <row r="145" spans="1:16" s="261" customFormat="1" ht="13.8" outlineLevel="1" x14ac:dyDescent="0.3">
      <c r="A145" s="328" t="s">
        <v>231</v>
      </c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</row>
    <row r="146" spans="1:16" s="261" customFormat="1" ht="13.8" outlineLevel="1" x14ac:dyDescent="0.3">
      <c r="A146" s="333" t="s">
        <v>206</v>
      </c>
      <c r="B146" s="329">
        <f>B12+B26+B39+B53+B66+B80+B93+B107+B121+B135</f>
        <v>0</v>
      </c>
      <c r="C146" s="329">
        <f t="shared" ref="C146:O146" si="47">C12+C26+C39+C53+C66+C80+C93+C107+C121+C135</f>
        <v>0</v>
      </c>
      <c r="D146" s="329">
        <f t="shared" si="47"/>
        <v>1950.1650000000002</v>
      </c>
      <c r="E146" s="329">
        <f t="shared" si="47"/>
        <v>1950.1650000000002</v>
      </c>
      <c r="F146" s="329">
        <f>F12+F26+F39+F53+F66+F80+F93+F107+F121+F135</f>
        <v>1950.1650000000002</v>
      </c>
      <c r="G146" s="329">
        <f t="shared" si="47"/>
        <v>1950.1650000000002</v>
      </c>
      <c r="H146" s="329">
        <f t="shared" si="47"/>
        <v>1950.1650000000002</v>
      </c>
      <c r="I146" s="329">
        <f t="shared" si="47"/>
        <v>1950.1650000000002</v>
      </c>
      <c r="J146" s="329">
        <f t="shared" si="47"/>
        <v>1950.1650000000002</v>
      </c>
      <c r="K146" s="329">
        <f>K12+K26+K39+K53+K66+K80+K93+K107+K121+K135</f>
        <v>1950.1650000000002</v>
      </c>
      <c r="L146" s="329">
        <f t="shared" si="47"/>
        <v>1950.1650000000002</v>
      </c>
      <c r="M146" s="329">
        <f t="shared" si="47"/>
        <v>1950.1650000000002</v>
      </c>
      <c r="N146" s="329">
        <f t="shared" si="47"/>
        <v>0</v>
      </c>
      <c r="O146" s="329">
        <f t="shared" si="47"/>
        <v>0</v>
      </c>
      <c r="P146" s="329">
        <f>P12+P26+P39+P53+P66+P80+P93+P107+P121+P135</f>
        <v>19501.650000000005</v>
      </c>
    </row>
    <row r="147" spans="1:16" s="261" customFormat="1" ht="13.8" outlineLevel="1" x14ac:dyDescent="0.3">
      <c r="A147" s="333" t="s">
        <v>204</v>
      </c>
      <c r="B147" s="329">
        <f t="shared" ref="B147:P147" si="48">B13+B27+B40+B54+B67+B81+B94+B108+B122+B136</f>
        <v>0</v>
      </c>
      <c r="C147" s="329">
        <f t="shared" si="48"/>
        <v>0</v>
      </c>
      <c r="D147" s="329">
        <f t="shared" ca="1" si="48"/>
        <v>0</v>
      </c>
      <c r="E147" s="329">
        <f t="shared" si="48"/>
        <v>0</v>
      </c>
      <c r="F147" s="329">
        <f t="shared" si="48"/>
        <v>0</v>
      </c>
      <c r="G147" s="329">
        <f t="shared" si="48"/>
        <v>0</v>
      </c>
      <c r="H147" s="329">
        <f t="shared" si="48"/>
        <v>0</v>
      </c>
      <c r="I147" s="329">
        <f t="shared" si="48"/>
        <v>0</v>
      </c>
      <c r="J147" s="329">
        <f t="shared" si="48"/>
        <v>0</v>
      </c>
      <c r="K147" s="329">
        <f t="shared" si="48"/>
        <v>0</v>
      </c>
      <c r="L147" s="329">
        <f t="shared" si="48"/>
        <v>0</v>
      </c>
      <c r="M147" s="329">
        <f t="shared" ca="1" si="48"/>
        <v>0</v>
      </c>
      <c r="N147" s="329">
        <f t="shared" si="48"/>
        <v>0</v>
      </c>
      <c r="O147" s="329">
        <f>O13+O27+O40+O54+O67+O81+O94+O108+O122+O136</f>
        <v>0</v>
      </c>
      <c r="P147" s="329">
        <f t="shared" ca="1" si="48"/>
        <v>0</v>
      </c>
    </row>
    <row r="148" spans="1:16" s="261" customFormat="1" ht="13.8" outlineLevel="1" x14ac:dyDescent="0.3">
      <c r="A148" s="333" t="s">
        <v>218</v>
      </c>
      <c r="B148" s="329">
        <f t="shared" ref="B148:O148" si="49">B14+B28+B41+B55+B68+B82+B95+B109+B123+B137</f>
        <v>0</v>
      </c>
      <c r="C148" s="329">
        <f t="shared" ca="1" si="49"/>
        <v>0</v>
      </c>
      <c r="D148" s="329">
        <f t="shared" ca="1" si="49"/>
        <v>0</v>
      </c>
      <c r="E148" s="329">
        <f t="shared" ca="1" si="49"/>
        <v>0</v>
      </c>
      <c r="F148" s="329">
        <f t="shared" ca="1" si="49"/>
        <v>0</v>
      </c>
      <c r="G148" s="329">
        <f t="shared" ca="1" si="49"/>
        <v>0</v>
      </c>
      <c r="H148" s="329">
        <f t="shared" ca="1" si="49"/>
        <v>0</v>
      </c>
      <c r="I148" s="329">
        <f t="shared" ca="1" si="49"/>
        <v>0</v>
      </c>
      <c r="J148" s="329">
        <f t="shared" ca="1" si="49"/>
        <v>0</v>
      </c>
      <c r="K148" s="329">
        <f t="shared" ca="1" si="49"/>
        <v>0</v>
      </c>
      <c r="L148" s="329">
        <f t="shared" ca="1" si="49"/>
        <v>0</v>
      </c>
      <c r="M148" s="329">
        <f t="shared" si="49"/>
        <v>0</v>
      </c>
      <c r="N148" s="329">
        <f t="shared" si="49"/>
        <v>0</v>
      </c>
      <c r="O148" s="329">
        <f t="shared" si="49"/>
        <v>0</v>
      </c>
      <c r="P148" s="329">
        <f ca="1">P14+P28+P41+P55+P68+P82+P95+P109+P123+P137</f>
        <v>0</v>
      </c>
    </row>
    <row r="149" spans="1:16" s="261" customFormat="1" ht="13.8" outlineLevel="1" x14ac:dyDescent="0.3">
      <c r="A149" s="333" t="s">
        <v>219</v>
      </c>
      <c r="B149" s="329">
        <f t="shared" ref="B149:P149" si="50">B15+B29+B42+B56+B69+B83+B96+B110+B124+B138</f>
        <v>0</v>
      </c>
      <c r="C149" s="329">
        <f t="shared" si="50"/>
        <v>0</v>
      </c>
      <c r="D149" s="329">
        <f t="shared" si="50"/>
        <v>0</v>
      </c>
      <c r="E149" s="329">
        <f t="shared" si="50"/>
        <v>0</v>
      </c>
      <c r="F149" s="329">
        <f t="shared" si="50"/>
        <v>0</v>
      </c>
      <c r="G149" s="329">
        <f t="shared" si="50"/>
        <v>0</v>
      </c>
      <c r="H149" s="329">
        <f t="shared" si="50"/>
        <v>0</v>
      </c>
      <c r="I149" s="329">
        <f t="shared" si="50"/>
        <v>0</v>
      </c>
      <c r="J149" s="329">
        <f t="shared" si="50"/>
        <v>0</v>
      </c>
      <c r="K149" s="329">
        <f t="shared" si="50"/>
        <v>0</v>
      </c>
      <c r="L149" s="329">
        <f t="shared" si="50"/>
        <v>0</v>
      </c>
      <c r="M149" s="329">
        <f t="shared" si="50"/>
        <v>0</v>
      </c>
      <c r="N149" s="329">
        <f t="shared" si="50"/>
        <v>0</v>
      </c>
      <c r="O149" s="329">
        <f t="shared" si="50"/>
        <v>0</v>
      </c>
      <c r="P149" s="329">
        <f t="shared" si="50"/>
        <v>0</v>
      </c>
    </row>
    <row r="150" spans="1:16" s="261" customFormat="1" ht="13.8" outlineLevel="1" x14ac:dyDescent="0.3">
      <c r="A150" s="333" t="s">
        <v>205</v>
      </c>
      <c r="B150" s="329">
        <f t="shared" ref="B150:P150" si="51">B16+B30+B43+B57+B70+B84+B97+B111+B125+B139</f>
        <v>0</v>
      </c>
      <c r="C150" s="329">
        <f t="shared" si="51"/>
        <v>0</v>
      </c>
      <c r="D150" s="329">
        <f t="shared" si="51"/>
        <v>0</v>
      </c>
      <c r="E150" s="329">
        <f t="shared" si="51"/>
        <v>0</v>
      </c>
      <c r="F150" s="329">
        <f t="shared" si="51"/>
        <v>0</v>
      </c>
      <c r="G150" s="329">
        <f t="shared" si="51"/>
        <v>0</v>
      </c>
      <c r="H150" s="329">
        <f t="shared" si="51"/>
        <v>0</v>
      </c>
      <c r="I150" s="329">
        <f t="shared" si="51"/>
        <v>0</v>
      </c>
      <c r="J150" s="329">
        <f t="shared" si="51"/>
        <v>0</v>
      </c>
      <c r="K150" s="329">
        <f t="shared" si="51"/>
        <v>0</v>
      </c>
      <c r="L150" s="329">
        <f t="shared" si="51"/>
        <v>0</v>
      </c>
      <c r="M150" s="329">
        <f t="shared" si="51"/>
        <v>0</v>
      </c>
      <c r="N150" s="329">
        <f t="shared" si="51"/>
        <v>0</v>
      </c>
      <c r="O150" s="329">
        <f t="shared" si="51"/>
        <v>0</v>
      </c>
      <c r="P150" s="329">
        <f t="shared" si="51"/>
        <v>0</v>
      </c>
    </row>
    <row r="151" spans="1:16" s="261" customFormat="1" ht="13.8" outlineLevel="1" x14ac:dyDescent="0.3">
      <c r="A151" s="333" t="s">
        <v>220</v>
      </c>
      <c r="B151" s="329">
        <f t="shared" ref="B151:P151" si="52">B17+B31+B44+B58+B71+B85+B98+B112+B126+B140</f>
        <v>0</v>
      </c>
      <c r="C151" s="329">
        <f t="shared" si="52"/>
        <v>0</v>
      </c>
      <c r="D151" s="329">
        <f t="shared" si="52"/>
        <v>0</v>
      </c>
      <c r="E151" s="329">
        <f t="shared" si="52"/>
        <v>0</v>
      </c>
      <c r="F151" s="329">
        <f t="shared" si="52"/>
        <v>0</v>
      </c>
      <c r="G151" s="329">
        <f t="shared" si="52"/>
        <v>0</v>
      </c>
      <c r="H151" s="329">
        <f t="shared" si="52"/>
        <v>0</v>
      </c>
      <c r="I151" s="329">
        <f t="shared" si="52"/>
        <v>0</v>
      </c>
      <c r="J151" s="329">
        <f t="shared" si="52"/>
        <v>0</v>
      </c>
      <c r="K151" s="329">
        <f t="shared" si="52"/>
        <v>0</v>
      </c>
      <c r="L151" s="329">
        <f t="shared" si="52"/>
        <v>0</v>
      </c>
      <c r="M151" s="329">
        <f t="shared" si="52"/>
        <v>0</v>
      </c>
      <c r="N151" s="329">
        <f t="shared" si="52"/>
        <v>0</v>
      </c>
      <c r="O151" s="329">
        <f t="shared" si="52"/>
        <v>0</v>
      </c>
      <c r="P151" s="329">
        <f t="shared" si="52"/>
        <v>0</v>
      </c>
    </row>
    <row r="152" spans="1:16" s="261" customFormat="1" ht="13.8" outlineLevel="1" x14ac:dyDescent="0.3">
      <c r="A152" s="333" t="s">
        <v>207</v>
      </c>
      <c r="B152" s="329">
        <f t="shared" ref="B152:N152" si="53">B18+B32+B45+B59+B72+B86+B99+B113+B127+B141</f>
        <v>0</v>
      </c>
      <c r="C152" s="329">
        <f t="shared" si="53"/>
        <v>0</v>
      </c>
      <c r="D152" s="329">
        <f t="shared" si="53"/>
        <v>0</v>
      </c>
      <c r="E152" s="329">
        <f t="shared" si="53"/>
        <v>0</v>
      </c>
      <c r="F152" s="329">
        <f t="shared" si="53"/>
        <v>0</v>
      </c>
      <c r="G152" s="329">
        <f t="shared" si="53"/>
        <v>0</v>
      </c>
      <c r="H152" s="329">
        <f t="shared" si="53"/>
        <v>0</v>
      </c>
      <c r="I152" s="329">
        <f t="shared" si="53"/>
        <v>0</v>
      </c>
      <c r="J152" s="329">
        <f t="shared" si="53"/>
        <v>0</v>
      </c>
      <c r="K152" s="329">
        <f t="shared" si="53"/>
        <v>0</v>
      </c>
      <c r="L152" s="329">
        <f t="shared" si="53"/>
        <v>0</v>
      </c>
      <c r="M152" s="329">
        <f t="shared" si="53"/>
        <v>0</v>
      </c>
      <c r="N152" s="329">
        <f t="shared" si="53"/>
        <v>0</v>
      </c>
      <c r="O152" s="329">
        <f>O18+O31+O45+O58+O72+O86+O99+O113+O127+O141</f>
        <v>0</v>
      </c>
      <c r="P152" s="329">
        <f>P18+P31+P45+P58+P72+P85+P99+P113+P127+P141</f>
        <v>0</v>
      </c>
    </row>
    <row r="153" spans="1:16" s="263" customFormat="1" ht="13.8" outlineLevel="1" x14ac:dyDescent="0.3">
      <c r="A153" s="333" t="s">
        <v>221</v>
      </c>
      <c r="B153" s="329">
        <f t="shared" ref="B153:O153" si="54">B19+B33+B46+B60+B73+B87+B100+B114+B128+B142</f>
        <v>0</v>
      </c>
      <c r="C153" s="329">
        <f t="shared" si="54"/>
        <v>0</v>
      </c>
      <c r="D153" s="329">
        <f t="shared" si="54"/>
        <v>0</v>
      </c>
      <c r="E153" s="329">
        <f t="shared" si="54"/>
        <v>0</v>
      </c>
      <c r="F153" s="329">
        <f t="shared" si="54"/>
        <v>0</v>
      </c>
      <c r="G153" s="329">
        <f t="shared" si="54"/>
        <v>0</v>
      </c>
      <c r="H153" s="329">
        <f t="shared" si="54"/>
        <v>0</v>
      </c>
      <c r="I153" s="329">
        <f t="shared" si="54"/>
        <v>0</v>
      </c>
      <c r="J153" s="329">
        <f t="shared" si="54"/>
        <v>0</v>
      </c>
      <c r="K153" s="329">
        <f t="shared" si="54"/>
        <v>0</v>
      </c>
      <c r="L153" s="329">
        <f t="shared" si="54"/>
        <v>0</v>
      </c>
      <c r="M153" s="329">
        <f t="shared" si="54"/>
        <v>0</v>
      </c>
      <c r="N153" s="329">
        <f t="shared" si="54"/>
        <v>0</v>
      </c>
      <c r="O153" s="329">
        <f t="shared" si="54"/>
        <v>0</v>
      </c>
      <c r="P153" s="329">
        <f>P19+P32+P46+P59+P73+P86+P100+P114+P128+P142</f>
        <v>0</v>
      </c>
    </row>
    <row r="154" spans="1:16" s="263" customFormat="1" ht="13.8" x14ac:dyDescent="0.3"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</row>
    <row r="155" spans="1:16" s="305" customFormat="1" ht="10.199999999999999" x14ac:dyDescent="0.2">
      <c r="A155" s="347" t="s">
        <v>232</v>
      </c>
      <c r="B155" s="329">
        <f>B157-B159</f>
        <v>0</v>
      </c>
      <c r="C155" s="329">
        <f t="shared" ref="C155:O155" ca="1" si="55">C157-C159</f>
        <v>0</v>
      </c>
      <c r="D155" s="329">
        <f t="shared" ca="1" si="55"/>
        <v>0</v>
      </c>
      <c r="E155" s="329">
        <f t="shared" ca="1" si="55"/>
        <v>0</v>
      </c>
      <c r="F155" s="329">
        <f t="shared" ca="1" si="55"/>
        <v>0</v>
      </c>
      <c r="G155" s="329">
        <f t="shared" ca="1" si="55"/>
        <v>0</v>
      </c>
      <c r="H155" s="329">
        <f ca="1">H157-H159</f>
        <v>0</v>
      </c>
      <c r="I155" s="329">
        <f t="shared" ca="1" si="55"/>
        <v>0</v>
      </c>
      <c r="J155" s="329">
        <f ca="1">J157-J159</f>
        <v>0</v>
      </c>
      <c r="K155" s="329">
        <f t="shared" ca="1" si="55"/>
        <v>0</v>
      </c>
      <c r="L155" s="329">
        <f t="shared" ca="1" si="55"/>
        <v>0</v>
      </c>
      <c r="M155" s="329">
        <f t="shared" ca="1" si="55"/>
        <v>0</v>
      </c>
      <c r="N155" s="329">
        <f t="shared" si="55"/>
        <v>0</v>
      </c>
      <c r="O155" s="329">
        <f t="shared" si="55"/>
        <v>0</v>
      </c>
      <c r="P155" s="329">
        <f ca="1">SUM(B155:O155)</f>
        <v>0</v>
      </c>
    </row>
    <row r="156" spans="1:16" s="305" customFormat="1" ht="10.199999999999999" outlineLevel="1" x14ac:dyDescent="0.2">
      <c r="A156" s="347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</row>
    <row r="157" spans="1:16" s="305" customFormat="1" ht="10.199999999999999" outlineLevel="1" x14ac:dyDescent="0.2">
      <c r="A157" s="347" t="s">
        <v>233</v>
      </c>
      <c r="B157" s="329">
        <f>B158*0.105</f>
        <v>0</v>
      </c>
      <c r="C157" s="329">
        <f t="shared" ref="C157:O157" si="56">C158*0.105</f>
        <v>0</v>
      </c>
      <c r="D157" s="329">
        <f t="shared" si="56"/>
        <v>0</v>
      </c>
      <c r="E157" s="329">
        <f t="shared" si="56"/>
        <v>0</v>
      </c>
      <c r="F157" s="329">
        <f t="shared" si="56"/>
        <v>0</v>
      </c>
      <c r="G157" s="329">
        <f t="shared" si="56"/>
        <v>0</v>
      </c>
      <c r="H157" s="329">
        <f t="shared" si="56"/>
        <v>0</v>
      </c>
      <c r="I157" s="329">
        <f t="shared" si="56"/>
        <v>0</v>
      </c>
      <c r="J157" s="329">
        <f t="shared" si="56"/>
        <v>0</v>
      </c>
      <c r="K157" s="329">
        <f t="shared" si="56"/>
        <v>0</v>
      </c>
      <c r="L157" s="329">
        <f t="shared" si="56"/>
        <v>0</v>
      </c>
      <c r="M157" s="329">
        <f t="shared" si="56"/>
        <v>0</v>
      </c>
      <c r="N157" s="329">
        <f t="shared" si="56"/>
        <v>0</v>
      </c>
      <c r="O157" s="329">
        <f t="shared" si="56"/>
        <v>0</v>
      </c>
      <c r="P157" s="329">
        <f>SUM(B157:O157)</f>
        <v>0</v>
      </c>
    </row>
    <row r="158" spans="1:16" s="305" customFormat="1" ht="10.199999999999999" hidden="1" outlineLevel="2" x14ac:dyDescent="0.2">
      <c r="A158" s="348" t="s">
        <v>234</v>
      </c>
      <c r="B158" s="329">
        <f>B10+B24+B37+B51+B64+B78+B91+B105+B119+B133</f>
        <v>0</v>
      </c>
      <c r="C158" s="329">
        <f t="shared" ref="C158:O158" si="57">C10+C24+C37+C51+C64+C78+C91+C105+C119+C133</f>
        <v>0</v>
      </c>
      <c r="D158" s="329">
        <f t="shared" si="57"/>
        <v>0</v>
      </c>
      <c r="E158" s="329">
        <f t="shared" si="57"/>
        <v>0</v>
      </c>
      <c r="F158" s="329">
        <f t="shared" si="57"/>
        <v>0</v>
      </c>
      <c r="G158" s="329">
        <f t="shared" si="57"/>
        <v>0</v>
      </c>
      <c r="H158" s="329">
        <f t="shared" si="57"/>
        <v>0</v>
      </c>
      <c r="I158" s="329">
        <f t="shared" si="57"/>
        <v>0</v>
      </c>
      <c r="J158" s="329">
        <f t="shared" si="57"/>
        <v>0</v>
      </c>
      <c r="K158" s="329">
        <f t="shared" si="57"/>
        <v>0</v>
      </c>
      <c r="L158" s="329">
        <f t="shared" si="57"/>
        <v>0</v>
      </c>
      <c r="M158" s="329">
        <f t="shared" si="57"/>
        <v>0</v>
      </c>
      <c r="N158" s="329">
        <f t="shared" si="57"/>
        <v>0</v>
      </c>
      <c r="O158" s="329">
        <f t="shared" si="57"/>
        <v>0</v>
      </c>
      <c r="P158" s="329"/>
    </row>
    <row r="159" spans="1:16" s="305" customFormat="1" ht="10.199999999999999" outlineLevel="1" collapsed="1" x14ac:dyDescent="0.2">
      <c r="A159" s="347" t="s">
        <v>235</v>
      </c>
      <c r="B159" s="329">
        <f>SUM(B160:B167)</f>
        <v>0</v>
      </c>
      <c r="C159" s="329">
        <f t="shared" ref="C159:O159" ca="1" si="58">SUM(C160:C167)</f>
        <v>0</v>
      </c>
      <c r="D159" s="329">
        <f t="shared" ca="1" si="58"/>
        <v>0</v>
      </c>
      <c r="E159" s="329">
        <f t="shared" ca="1" si="58"/>
        <v>0</v>
      </c>
      <c r="F159" s="329">
        <f t="shared" ca="1" si="58"/>
        <v>0</v>
      </c>
      <c r="G159" s="329">
        <f t="shared" ca="1" si="58"/>
        <v>0</v>
      </c>
      <c r="H159" s="329">
        <f ca="1">SUM(H160:H167)</f>
        <v>0</v>
      </c>
      <c r="I159" s="329">
        <f t="shared" ca="1" si="58"/>
        <v>0</v>
      </c>
      <c r="J159" s="329">
        <f ca="1">SUM(J160:J167)</f>
        <v>0</v>
      </c>
      <c r="K159" s="329">
        <f t="shared" ca="1" si="58"/>
        <v>0</v>
      </c>
      <c r="L159" s="329">
        <f t="shared" ca="1" si="58"/>
        <v>0</v>
      </c>
      <c r="M159" s="329">
        <f t="shared" ca="1" si="58"/>
        <v>0</v>
      </c>
      <c r="N159" s="329">
        <f t="shared" si="58"/>
        <v>0</v>
      </c>
      <c r="O159" s="329">
        <f t="shared" si="58"/>
        <v>0</v>
      </c>
      <c r="P159" s="329">
        <f ca="1">SUM(B159:O159)</f>
        <v>0</v>
      </c>
    </row>
    <row r="160" spans="1:16" s="305" customFormat="1" ht="10.199999999999999" outlineLevel="2" x14ac:dyDescent="0.2">
      <c r="A160" s="333" t="s">
        <v>206</v>
      </c>
      <c r="B160" s="329">
        <f>B146*0%</f>
        <v>0</v>
      </c>
      <c r="C160" s="329">
        <f t="shared" ref="C160:O160" si="59">C146*0%</f>
        <v>0</v>
      </c>
      <c r="D160" s="329">
        <f t="shared" si="59"/>
        <v>0</v>
      </c>
      <c r="E160" s="329">
        <f t="shared" si="59"/>
        <v>0</v>
      </c>
      <c r="F160" s="329">
        <f t="shared" si="59"/>
        <v>0</v>
      </c>
      <c r="G160" s="329">
        <f t="shared" si="59"/>
        <v>0</v>
      </c>
      <c r="H160" s="329">
        <f t="shared" si="59"/>
        <v>0</v>
      </c>
      <c r="I160" s="329">
        <f t="shared" si="59"/>
        <v>0</v>
      </c>
      <c r="J160" s="329">
        <f t="shared" si="59"/>
        <v>0</v>
      </c>
      <c r="K160" s="329">
        <f t="shared" si="59"/>
        <v>0</v>
      </c>
      <c r="L160" s="329">
        <f t="shared" si="59"/>
        <v>0</v>
      </c>
      <c r="M160" s="329">
        <f t="shared" si="59"/>
        <v>0</v>
      </c>
      <c r="N160" s="329">
        <f t="shared" si="59"/>
        <v>0</v>
      </c>
      <c r="O160" s="329">
        <f t="shared" si="59"/>
        <v>0</v>
      </c>
      <c r="P160" s="329"/>
    </row>
    <row r="161" spans="1:16" s="305" customFormat="1" ht="10.199999999999999" outlineLevel="2" x14ac:dyDescent="0.2">
      <c r="A161" s="333" t="s">
        <v>204</v>
      </c>
      <c r="B161" s="329">
        <f>B147*0.105</f>
        <v>0</v>
      </c>
      <c r="C161" s="329">
        <f t="shared" ref="C161:O161" si="60">C147*0.105</f>
        <v>0</v>
      </c>
      <c r="D161" s="329">
        <f t="shared" ca="1" si="60"/>
        <v>0</v>
      </c>
      <c r="E161" s="329">
        <f t="shared" si="60"/>
        <v>0</v>
      </c>
      <c r="F161" s="329">
        <f t="shared" si="60"/>
        <v>0</v>
      </c>
      <c r="G161" s="329">
        <f t="shared" si="60"/>
        <v>0</v>
      </c>
      <c r="H161" s="329">
        <f t="shared" si="60"/>
        <v>0</v>
      </c>
      <c r="I161" s="329">
        <f t="shared" si="60"/>
        <v>0</v>
      </c>
      <c r="J161" s="329">
        <f t="shared" si="60"/>
        <v>0</v>
      </c>
      <c r="K161" s="329">
        <f t="shared" si="60"/>
        <v>0</v>
      </c>
      <c r="L161" s="329">
        <f t="shared" si="60"/>
        <v>0</v>
      </c>
      <c r="M161" s="329">
        <f t="shared" ca="1" si="60"/>
        <v>0</v>
      </c>
      <c r="N161" s="329">
        <f t="shared" si="60"/>
        <v>0</v>
      </c>
      <c r="O161" s="329">
        <f t="shared" si="60"/>
        <v>0</v>
      </c>
      <c r="P161" s="329"/>
    </row>
    <row r="162" spans="1:16" s="305" customFormat="1" ht="10.199999999999999" outlineLevel="2" x14ac:dyDescent="0.2">
      <c r="A162" s="333" t="s">
        <v>218</v>
      </c>
      <c r="B162" s="329">
        <f>B148*0.21</f>
        <v>0</v>
      </c>
      <c r="C162" s="329">
        <f t="shared" ref="C162:O162" ca="1" si="61">C148*0.21</f>
        <v>0</v>
      </c>
      <c r="D162" s="329">
        <f t="shared" ca="1" si="61"/>
        <v>0</v>
      </c>
      <c r="E162" s="329">
        <f t="shared" ca="1" si="61"/>
        <v>0</v>
      </c>
      <c r="F162" s="329">
        <f t="shared" ca="1" si="61"/>
        <v>0</v>
      </c>
      <c r="G162" s="329">
        <f t="shared" ca="1" si="61"/>
        <v>0</v>
      </c>
      <c r="H162" s="329">
        <f t="shared" ca="1" si="61"/>
        <v>0</v>
      </c>
      <c r="I162" s="329">
        <f t="shared" ca="1" si="61"/>
        <v>0</v>
      </c>
      <c r="J162" s="329">
        <f t="shared" ca="1" si="61"/>
        <v>0</v>
      </c>
      <c r="K162" s="329">
        <f t="shared" ca="1" si="61"/>
        <v>0</v>
      </c>
      <c r="L162" s="329">
        <f t="shared" ca="1" si="61"/>
        <v>0</v>
      </c>
      <c r="M162" s="329">
        <f t="shared" si="61"/>
        <v>0</v>
      </c>
      <c r="N162" s="329">
        <f t="shared" si="61"/>
        <v>0</v>
      </c>
      <c r="O162" s="329">
        <f t="shared" si="61"/>
        <v>0</v>
      </c>
      <c r="P162" s="329"/>
    </row>
    <row r="163" spans="1:16" s="305" customFormat="1" ht="10.199999999999999" outlineLevel="2" x14ac:dyDescent="0.2">
      <c r="A163" s="333" t="s">
        <v>219</v>
      </c>
      <c r="B163" s="329">
        <f>B149*0.105</f>
        <v>0</v>
      </c>
      <c r="C163" s="329">
        <f t="shared" ref="C163:O163" si="62">C149*0.105</f>
        <v>0</v>
      </c>
      <c r="D163" s="329">
        <f t="shared" si="62"/>
        <v>0</v>
      </c>
      <c r="E163" s="329">
        <f t="shared" si="62"/>
        <v>0</v>
      </c>
      <c r="F163" s="329">
        <f t="shared" si="62"/>
        <v>0</v>
      </c>
      <c r="G163" s="329">
        <f t="shared" si="62"/>
        <v>0</v>
      </c>
      <c r="H163" s="329">
        <f t="shared" si="62"/>
        <v>0</v>
      </c>
      <c r="I163" s="329">
        <f t="shared" si="62"/>
        <v>0</v>
      </c>
      <c r="J163" s="329">
        <f>J149*0.105</f>
        <v>0</v>
      </c>
      <c r="K163" s="329">
        <f t="shared" si="62"/>
        <v>0</v>
      </c>
      <c r="L163" s="329">
        <f t="shared" si="62"/>
        <v>0</v>
      </c>
      <c r="M163" s="329">
        <f t="shared" si="62"/>
        <v>0</v>
      </c>
      <c r="N163" s="329">
        <f t="shared" si="62"/>
        <v>0</v>
      </c>
      <c r="O163" s="329">
        <f t="shared" si="62"/>
        <v>0</v>
      </c>
      <c r="P163" s="329"/>
    </row>
    <row r="164" spans="1:16" s="305" customFormat="1" ht="10.199999999999999" outlineLevel="2" x14ac:dyDescent="0.2">
      <c r="A164" s="333" t="s">
        <v>205</v>
      </c>
      <c r="B164" s="329">
        <f>B150*0.21</f>
        <v>0</v>
      </c>
      <c r="C164" s="329">
        <f t="shared" ref="C164:O164" si="63">C150*0.21</f>
        <v>0</v>
      </c>
      <c r="D164" s="329">
        <f t="shared" si="63"/>
        <v>0</v>
      </c>
      <c r="E164" s="329">
        <f t="shared" si="63"/>
        <v>0</v>
      </c>
      <c r="F164" s="329">
        <f t="shared" si="63"/>
        <v>0</v>
      </c>
      <c r="G164" s="329">
        <f t="shared" si="63"/>
        <v>0</v>
      </c>
      <c r="H164" s="329">
        <f>H150*0.21</f>
        <v>0</v>
      </c>
      <c r="I164" s="329">
        <f t="shared" si="63"/>
        <v>0</v>
      </c>
      <c r="J164" s="329">
        <f t="shared" si="63"/>
        <v>0</v>
      </c>
      <c r="K164" s="329">
        <f t="shared" si="63"/>
        <v>0</v>
      </c>
      <c r="L164" s="329">
        <f t="shared" si="63"/>
        <v>0</v>
      </c>
      <c r="M164" s="329">
        <f t="shared" si="63"/>
        <v>0</v>
      </c>
      <c r="N164" s="329">
        <f t="shared" si="63"/>
        <v>0</v>
      </c>
      <c r="O164" s="329">
        <f t="shared" si="63"/>
        <v>0</v>
      </c>
      <c r="P164" s="329"/>
    </row>
    <row r="165" spans="1:16" s="305" customFormat="1" ht="10.199999999999999" outlineLevel="2" x14ac:dyDescent="0.2">
      <c r="A165" s="333" t="s">
        <v>220</v>
      </c>
      <c r="B165" s="329">
        <f>B151*0.18</f>
        <v>0</v>
      </c>
      <c r="C165" s="329">
        <f t="shared" ref="C165:O165" si="64">C151*0.18</f>
        <v>0</v>
      </c>
      <c r="D165" s="329">
        <f t="shared" si="64"/>
        <v>0</v>
      </c>
      <c r="E165" s="329">
        <f t="shared" si="64"/>
        <v>0</v>
      </c>
      <c r="F165" s="329">
        <f t="shared" si="64"/>
        <v>0</v>
      </c>
      <c r="G165" s="329">
        <f t="shared" si="64"/>
        <v>0</v>
      </c>
      <c r="H165" s="329">
        <f t="shared" si="64"/>
        <v>0</v>
      </c>
      <c r="I165" s="329">
        <f t="shared" si="64"/>
        <v>0</v>
      </c>
      <c r="J165" s="329">
        <f t="shared" si="64"/>
        <v>0</v>
      </c>
      <c r="K165" s="329">
        <f t="shared" si="64"/>
        <v>0</v>
      </c>
      <c r="L165" s="329">
        <f t="shared" si="64"/>
        <v>0</v>
      </c>
      <c r="M165" s="329">
        <f t="shared" si="64"/>
        <v>0</v>
      </c>
      <c r="N165" s="329">
        <f t="shared" si="64"/>
        <v>0</v>
      </c>
      <c r="O165" s="329">
        <f t="shared" si="64"/>
        <v>0</v>
      </c>
      <c r="P165" s="329"/>
    </row>
    <row r="166" spans="1:16" s="305" customFormat="1" ht="10.199999999999999" outlineLevel="2" x14ac:dyDescent="0.2">
      <c r="A166" s="333" t="s">
        <v>207</v>
      </c>
      <c r="B166" s="329">
        <f>B152*0.21</f>
        <v>0</v>
      </c>
      <c r="C166" s="329">
        <f t="shared" ref="C166:O166" si="65">C152*0.21</f>
        <v>0</v>
      </c>
      <c r="D166" s="329">
        <f t="shared" si="65"/>
        <v>0</v>
      </c>
      <c r="E166" s="329">
        <f t="shared" si="65"/>
        <v>0</v>
      </c>
      <c r="F166" s="329">
        <f t="shared" si="65"/>
        <v>0</v>
      </c>
      <c r="G166" s="329">
        <f t="shared" si="65"/>
        <v>0</v>
      </c>
      <c r="H166" s="329">
        <f t="shared" si="65"/>
        <v>0</v>
      </c>
      <c r="I166" s="329">
        <f t="shared" si="65"/>
        <v>0</v>
      </c>
      <c r="J166" s="329">
        <f t="shared" si="65"/>
        <v>0</v>
      </c>
      <c r="K166" s="329">
        <f t="shared" si="65"/>
        <v>0</v>
      </c>
      <c r="L166" s="329">
        <f t="shared" si="65"/>
        <v>0</v>
      </c>
      <c r="M166" s="329">
        <f t="shared" si="65"/>
        <v>0</v>
      </c>
      <c r="N166" s="329">
        <f t="shared" si="65"/>
        <v>0</v>
      </c>
      <c r="O166" s="329">
        <f t="shared" si="65"/>
        <v>0</v>
      </c>
      <c r="P166" s="329"/>
    </row>
    <row r="167" spans="1:16" s="305" customFormat="1" ht="10.199999999999999" outlineLevel="2" x14ac:dyDescent="0.2">
      <c r="A167" s="333" t="s">
        <v>221</v>
      </c>
      <c r="B167" s="329">
        <f>B153*0.21</f>
        <v>0</v>
      </c>
      <c r="C167" s="329">
        <f t="shared" ref="C167:O167" si="66">C153*0.21</f>
        <v>0</v>
      </c>
      <c r="D167" s="329">
        <f t="shared" si="66"/>
        <v>0</v>
      </c>
      <c r="E167" s="329">
        <f t="shared" si="66"/>
        <v>0</v>
      </c>
      <c r="F167" s="329">
        <f t="shared" si="66"/>
        <v>0</v>
      </c>
      <c r="G167" s="329">
        <f t="shared" si="66"/>
        <v>0</v>
      </c>
      <c r="H167" s="329">
        <f t="shared" si="66"/>
        <v>0</v>
      </c>
      <c r="I167" s="329">
        <f t="shared" si="66"/>
        <v>0</v>
      </c>
      <c r="J167" s="329">
        <f t="shared" si="66"/>
        <v>0</v>
      </c>
      <c r="K167" s="329">
        <f t="shared" si="66"/>
        <v>0</v>
      </c>
      <c r="L167" s="329">
        <f t="shared" si="66"/>
        <v>0</v>
      </c>
      <c r="M167" s="329">
        <f t="shared" si="66"/>
        <v>0</v>
      </c>
      <c r="N167" s="329">
        <f t="shared" si="66"/>
        <v>0</v>
      </c>
      <c r="O167" s="329">
        <f t="shared" si="66"/>
        <v>0</v>
      </c>
      <c r="P167" s="329"/>
    </row>
    <row r="168" spans="1:16" s="305" customFormat="1" ht="10.199999999999999" outlineLevel="1" x14ac:dyDescent="0.2"/>
  </sheetData>
  <mergeCells count="2">
    <mergeCell ref="A2:B2"/>
    <mergeCell ref="A1:P1"/>
  </mergeCells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0"/>
  <sheetViews>
    <sheetView topLeftCell="A75" zoomScale="95" zoomScaleNormal="95" workbookViewId="0">
      <selection activeCell="D82" sqref="D81:D82"/>
    </sheetView>
  </sheetViews>
  <sheetFormatPr baseColWidth="10" defaultColWidth="10.6640625" defaultRowHeight="14.4" x14ac:dyDescent="0.3"/>
  <cols>
    <col min="1" max="1" width="27.5546875" style="1" bestFit="1" customWidth="1"/>
    <col min="2" max="2" width="18.88671875" style="96" bestFit="1" customWidth="1"/>
    <col min="3" max="3" width="16.6640625" style="1" customWidth="1"/>
    <col min="4" max="4" width="17.88671875" style="2" customWidth="1"/>
    <col min="5" max="5" width="22.88671875" style="1" customWidth="1"/>
    <col min="6" max="6" width="19" style="1" bestFit="1" customWidth="1"/>
    <col min="7" max="7" width="19.33203125" style="1" customWidth="1"/>
    <col min="8" max="8" width="27" style="96" bestFit="1" customWidth="1"/>
    <col min="9" max="9" width="13.109375" style="1" bestFit="1" customWidth="1"/>
    <col min="10" max="10" width="25.6640625" style="1" bestFit="1" customWidth="1"/>
    <col min="11" max="16384" width="10.6640625" style="1"/>
  </cols>
  <sheetData>
    <row r="1" spans="1:10" s="3" customFormat="1" ht="21.6" thickBot="1" x14ac:dyDescent="0.45">
      <c r="A1" s="664" t="s">
        <v>236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  <c r="J5" s="3" t="s">
        <v>244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G7" s="15"/>
      <c r="H7" s="94"/>
    </row>
    <row r="8" spans="1:10" s="3" customFormat="1" ht="13.8" x14ac:dyDescent="0.3">
      <c r="A8" s="16" t="s">
        <v>246</v>
      </c>
      <c r="B8" s="163">
        <v>0</v>
      </c>
      <c r="C8" s="18" t="s">
        <v>247</v>
      </c>
      <c r="D8" s="145">
        <f>+Cotizaciones!E8/Cotizaciones!M7</f>
        <v>29.014942695488177</v>
      </c>
      <c r="E8" s="146">
        <f>B8*D8</f>
        <v>0</v>
      </c>
      <c r="F8" s="94"/>
      <c r="G8" s="94"/>
      <c r="H8" s="94" t="s">
        <v>248</v>
      </c>
      <c r="J8" s="3" t="s">
        <v>249</v>
      </c>
    </row>
    <row r="9" spans="1:10" s="3" customFormat="1" ht="13.8" x14ac:dyDescent="0.3">
      <c r="A9" s="16" t="s">
        <v>250</v>
      </c>
      <c r="B9" s="163">
        <v>1</v>
      </c>
      <c r="C9" s="18" t="s">
        <v>247</v>
      </c>
      <c r="D9" s="145">
        <v>24</v>
      </c>
      <c r="E9" s="146">
        <f>B9*D9</f>
        <v>24</v>
      </c>
      <c r="F9" s="94"/>
      <c r="G9" s="94"/>
      <c r="H9" s="94" t="s">
        <v>248</v>
      </c>
      <c r="J9" s="3" t="s">
        <v>249</v>
      </c>
    </row>
    <row r="10" spans="1:10" s="3" customFormat="1" ht="13.8" x14ac:dyDescent="0.3">
      <c r="A10" s="16" t="s">
        <v>251</v>
      </c>
      <c r="B10" s="163">
        <v>2</v>
      </c>
      <c r="C10" s="18" t="s">
        <v>247</v>
      </c>
      <c r="D10" s="521">
        <v>6.5</v>
      </c>
      <c r="E10" s="146">
        <f t="shared" ref="E10:E20" si="0">B10*D10</f>
        <v>13</v>
      </c>
      <c r="F10" s="94"/>
      <c r="G10" s="94"/>
      <c r="H10" s="95">
        <v>41030</v>
      </c>
      <c r="J10" s="3" t="s">
        <v>249</v>
      </c>
    </row>
    <row r="11" spans="1:10" s="3" customFormat="1" ht="13.8" x14ac:dyDescent="0.3">
      <c r="A11" s="16" t="s">
        <v>252</v>
      </c>
      <c r="B11" s="163">
        <v>1</v>
      </c>
      <c r="C11" s="18" t="s">
        <v>247</v>
      </c>
      <c r="D11" s="521">
        <v>55</v>
      </c>
      <c r="E11" s="146">
        <f t="shared" si="0"/>
        <v>55</v>
      </c>
      <c r="F11" s="94"/>
      <c r="G11" s="94"/>
      <c r="H11" s="95">
        <v>41061</v>
      </c>
      <c r="J11" s="3" t="s">
        <v>253</v>
      </c>
    </row>
    <row r="12" spans="1:10" s="3" customFormat="1" ht="13.8" x14ac:dyDescent="0.3">
      <c r="A12" s="16" t="s">
        <v>254</v>
      </c>
      <c r="B12" s="163">
        <v>1</v>
      </c>
      <c r="C12" s="18" t="s">
        <v>247</v>
      </c>
      <c r="D12" s="521">
        <v>6.5</v>
      </c>
      <c r="E12" s="146">
        <f t="shared" si="0"/>
        <v>6.5</v>
      </c>
      <c r="F12" s="94">
        <f>42*105</f>
        <v>4410</v>
      </c>
      <c r="G12" s="94"/>
      <c r="H12" s="94" t="s">
        <v>255</v>
      </c>
      <c r="J12" s="3" t="s">
        <v>256</v>
      </c>
    </row>
    <row r="13" spans="1:10" s="3" customFormat="1" ht="13.8" x14ac:dyDescent="0.3">
      <c r="A13" s="16" t="s">
        <v>257</v>
      </c>
      <c r="B13" s="163">
        <v>0</v>
      </c>
      <c r="C13" s="18" t="s">
        <v>247</v>
      </c>
      <c r="D13" s="521">
        <v>6.5</v>
      </c>
      <c r="E13" s="146">
        <f t="shared" si="0"/>
        <v>0</v>
      </c>
      <c r="F13" s="94"/>
      <c r="G13" s="94"/>
      <c r="H13" s="94" t="s">
        <v>255</v>
      </c>
      <c r="J13" s="3" t="s">
        <v>256</v>
      </c>
    </row>
    <row r="14" spans="1:10" s="3" customFormat="1" ht="13.8" x14ac:dyDescent="0.3">
      <c r="A14" s="16" t="s">
        <v>258</v>
      </c>
      <c r="B14" s="163">
        <v>1</v>
      </c>
      <c r="C14" s="18" t="s">
        <v>247</v>
      </c>
      <c r="D14" s="145">
        <v>11</v>
      </c>
      <c r="E14" s="146">
        <f t="shared" si="0"/>
        <v>11</v>
      </c>
      <c r="F14" s="94"/>
      <c r="G14" s="94"/>
      <c r="H14" s="95">
        <v>41091</v>
      </c>
      <c r="I14" s="93">
        <v>41122</v>
      </c>
      <c r="J14" s="3" t="s">
        <v>253</v>
      </c>
    </row>
    <row r="15" spans="1:10" s="3" customFormat="1" ht="13.8" x14ac:dyDescent="0.3">
      <c r="A15" s="16" t="s">
        <v>258</v>
      </c>
      <c r="B15" s="163">
        <v>1</v>
      </c>
      <c r="C15" s="18" t="s">
        <v>247</v>
      </c>
      <c r="D15" s="145">
        <v>11</v>
      </c>
      <c r="E15" s="146">
        <f t="shared" si="0"/>
        <v>11</v>
      </c>
      <c r="F15" s="94"/>
      <c r="G15" s="94"/>
      <c r="H15" s="95"/>
      <c r="I15" s="93"/>
      <c r="J15" s="3" t="s">
        <v>256</v>
      </c>
    </row>
    <row r="16" spans="1:10" s="3" customFormat="1" ht="13.8" x14ac:dyDescent="0.3">
      <c r="A16" s="16" t="s">
        <v>259</v>
      </c>
      <c r="B16" s="163">
        <v>2</v>
      </c>
      <c r="C16" s="18" t="s">
        <v>247</v>
      </c>
      <c r="D16" s="521">
        <v>6.5</v>
      </c>
      <c r="E16" s="146">
        <f t="shared" si="0"/>
        <v>13</v>
      </c>
      <c r="F16" s="94"/>
      <c r="G16" s="94"/>
      <c r="H16" s="94" t="s">
        <v>260</v>
      </c>
      <c r="J16" s="3" t="s">
        <v>261</v>
      </c>
    </row>
    <row r="17" spans="1:10" s="3" customFormat="1" ht="13.8" x14ac:dyDescent="0.3">
      <c r="A17" s="16" t="s">
        <v>262</v>
      </c>
      <c r="B17" s="163">
        <v>1</v>
      </c>
      <c r="C17" s="18" t="s">
        <v>247</v>
      </c>
      <c r="D17" s="145">
        <v>1</v>
      </c>
      <c r="E17" s="146">
        <f t="shared" si="0"/>
        <v>1</v>
      </c>
      <c r="F17" s="94"/>
      <c r="G17" s="94"/>
      <c r="H17" s="95">
        <v>41030</v>
      </c>
      <c r="J17" s="3" t="s">
        <v>249</v>
      </c>
    </row>
    <row r="18" spans="1:10" s="3" customFormat="1" ht="13.8" x14ac:dyDescent="0.3">
      <c r="A18" s="16" t="s">
        <v>263</v>
      </c>
      <c r="B18" s="163">
        <v>0</v>
      </c>
      <c r="C18" s="18" t="s">
        <v>247</v>
      </c>
      <c r="D18" s="145">
        <v>1</v>
      </c>
      <c r="E18" s="146">
        <f t="shared" si="0"/>
        <v>0</v>
      </c>
      <c r="F18" s="94"/>
      <c r="G18" s="94"/>
      <c r="H18" s="95">
        <v>41030</v>
      </c>
      <c r="J18" s="3" t="s">
        <v>249</v>
      </c>
    </row>
    <row r="19" spans="1:10" s="3" customFormat="1" ht="13.8" x14ac:dyDescent="0.3">
      <c r="A19" s="16" t="s">
        <v>264</v>
      </c>
      <c r="B19" s="163">
        <v>0</v>
      </c>
      <c r="C19" s="18" t="s">
        <v>247</v>
      </c>
      <c r="D19" s="145">
        <v>0</v>
      </c>
      <c r="E19" s="146">
        <f t="shared" si="0"/>
        <v>0</v>
      </c>
      <c r="F19" s="94"/>
      <c r="G19" s="94"/>
      <c r="H19" s="94"/>
      <c r="J19" s="536" t="s">
        <v>249</v>
      </c>
    </row>
    <row r="20" spans="1:10" s="3" customFormat="1" ht="13.8" x14ac:dyDescent="0.3">
      <c r="A20" s="16" t="s">
        <v>32</v>
      </c>
      <c r="B20" s="163">
        <v>0</v>
      </c>
      <c r="C20" s="18" t="s">
        <v>247</v>
      </c>
      <c r="D20" s="145">
        <v>0</v>
      </c>
      <c r="E20" s="146">
        <f t="shared" si="0"/>
        <v>0</v>
      </c>
      <c r="F20" s="94"/>
      <c r="G20" s="94"/>
      <c r="H20" s="94"/>
      <c r="J20" s="536" t="s">
        <v>249</v>
      </c>
    </row>
    <row r="21" spans="1:10" s="3" customFormat="1" ht="13.8" x14ac:dyDescent="0.3">
      <c r="B21" s="131"/>
      <c r="C21" s="725" t="s">
        <v>265</v>
      </c>
      <c r="D21" s="725"/>
      <c r="E21" s="127">
        <f>SUM(E8:E20)</f>
        <v>134.5</v>
      </c>
      <c r="F21" s="91">
        <f>E21/E62</f>
        <v>0.1287438619329766</v>
      </c>
      <c r="G21" s="129"/>
      <c r="H21" s="140">
        <f>E21*$B$3</f>
        <v>0</v>
      </c>
    </row>
    <row r="22" spans="1:10" s="3" customFormat="1" ht="13.8" x14ac:dyDescent="0.3">
      <c r="A22" s="126" t="s">
        <v>205</v>
      </c>
      <c r="B22" s="90"/>
      <c r="C22" s="12"/>
      <c r="D22" s="24"/>
      <c r="E22" s="25"/>
      <c r="F22" s="78"/>
      <c r="H22" s="94"/>
    </row>
    <row r="23" spans="1:10" s="3" customFormat="1" ht="13.8" x14ac:dyDescent="0.3">
      <c r="A23" s="30" t="s">
        <v>266</v>
      </c>
      <c r="B23" s="164">
        <v>140</v>
      </c>
      <c r="C23" s="18" t="s">
        <v>21</v>
      </c>
      <c r="D23" s="145">
        <f>+Cotizaciones!E40</f>
        <v>0.52</v>
      </c>
      <c r="E23" s="162">
        <f>B23*D23</f>
        <v>72.8</v>
      </c>
      <c r="F23" s="92"/>
      <c r="H23" s="94" t="s">
        <v>267</v>
      </c>
      <c r="J23" s="3" t="s">
        <v>268</v>
      </c>
    </row>
    <row r="24" spans="1:10" s="3" customFormat="1" ht="13.8" x14ac:dyDescent="0.3">
      <c r="A24" s="30" t="s">
        <v>269</v>
      </c>
      <c r="B24" s="132"/>
      <c r="D24" s="145">
        <f>+Cotizaciones!F26/1000</f>
        <v>3.5000000000000003E-2</v>
      </c>
      <c r="E24" s="162">
        <f>+D24*B23</f>
        <v>4.9000000000000004</v>
      </c>
      <c r="H24" s="140">
        <f>E25*$B$3</f>
        <v>0</v>
      </c>
    </row>
    <row r="25" spans="1:10" s="3" customFormat="1" ht="13.8" x14ac:dyDescent="0.3">
      <c r="A25" s="30"/>
      <c r="B25" s="130"/>
      <c r="C25" s="725" t="s">
        <v>270</v>
      </c>
      <c r="D25" s="725"/>
      <c r="E25" s="127">
        <f>SUM(E23:E24)</f>
        <v>77.7</v>
      </c>
      <c r="F25" s="158">
        <f>E25/E62</f>
        <v>7.4374706856448203E-2</v>
      </c>
      <c r="G25" s="127"/>
      <c r="H25" s="94"/>
    </row>
    <row r="26" spans="1:10" s="3" customFormat="1" ht="13.8" x14ac:dyDescent="0.3">
      <c r="A26" s="126" t="s">
        <v>206</v>
      </c>
      <c r="B26" s="90">
        <v>0.8</v>
      </c>
      <c r="C26" s="12" t="s">
        <v>247</v>
      </c>
      <c r="D26" s="525">
        <f>+'Resumen Proy'!C57</f>
        <v>426</v>
      </c>
      <c r="E26" s="175">
        <f>B26*D26</f>
        <v>340.8</v>
      </c>
      <c r="F26" s="78"/>
      <c r="H26" s="94"/>
    </row>
    <row r="27" spans="1:10" s="3" customFormat="1" ht="13.8" x14ac:dyDescent="0.3">
      <c r="A27" s="30"/>
      <c r="B27" s="130"/>
      <c r="C27" s="726" t="s">
        <v>271</v>
      </c>
      <c r="D27" s="726"/>
      <c r="E27" s="157">
        <f>E26</f>
        <v>340.8</v>
      </c>
      <c r="F27" s="158">
        <f>E27/E62</f>
        <v>0.32621493045917049</v>
      </c>
      <c r="G27" s="127"/>
      <c r="H27" s="140">
        <f>+'[2]Alquileres por campo'!$S$58</f>
        <v>0</v>
      </c>
    </row>
    <row r="28" spans="1:10" s="3" customFormat="1" ht="13.8" x14ac:dyDescent="0.3">
      <c r="A28" s="30"/>
      <c r="B28" s="130"/>
      <c r="C28" s="18"/>
      <c r="D28" s="28"/>
      <c r="E28" s="29"/>
      <c r="F28" s="92"/>
      <c r="H28" s="94"/>
    </row>
    <row r="29" spans="1:10" s="3" customFormat="1" ht="13.8" x14ac:dyDescent="0.3">
      <c r="A29" s="126" t="s">
        <v>207</v>
      </c>
      <c r="B29" s="281">
        <v>40</v>
      </c>
      <c r="C29" s="12" t="s">
        <v>272</v>
      </c>
      <c r="D29" s="173">
        <f>+B29</f>
        <v>40</v>
      </c>
      <c r="E29" s="174">
        <f>D29</f>
        <v>40</v>
      </c>
      <c r="F29" s="78"/>
      <c r="H29" s="94"/>
    </row>
    <row r="30" spans="1:10" s="3" customFormat="1" ht="13.8" x14ac:dyDescent="0.3">
      <c r="A30" s="30"/>
      <c r="B30" s="130"/>
      <c r="C30" s="726" t="s">
        <v>273</v>
      </c>
      <c r="D30" s="726"/>
      <c r="E30" s="127">
        <f>E29</f>
        <v>40</v>
      </c>
      <c r="F30" s="158">
        <f>E30/E62</f>
        <v>3.8288137377836907E-2</v>
      </c>
      <c r="G30" s="127"/>
      <c r="H30" s="140">
        <f>E30*$B$3</f>
        <v>0</v>
      </c>
    </row>
    <row r="31" spans="1:10" s="3" customFormat="1" ht="13.8" x14ac:dyDescent="0.3">
      <c r="A31" s="30"/>
      <c r="B31" s="130"/>
      <c r="C31" s="7"/>
      <c r="D31" s="7"/>
      <c r="E31" s="33"/>
      <c r="F31" s="92"/>
      <c r="H31" s="94"/>
    </row>
    <row r="32" spans="1:10" s="3" customFormat="1" ht="13.8" x14ac:dyDescent="0.3">
      <c r="A32" s="126" t="s">
        <v>140</v>
      </c>
      <c r="B32" s="130"/>
      <c r="C32" s="18"/>
      <c r="D32" s="28"/>
      <c r="E32" s="29"/>
      <c r="F32" s="92"/>
      <c r="H32" s="94"/>
    </row>
    <row r="33" spans="1:11" s="3" customFormat="1" ht="13.8" x14ac:dyDescent="0.3">
      <c r="A33" s="30" t="s">
        <v>274</v>
      </c>
      <c r="B33" s="165">
        <v>0.08</v>
      </c>
      <c r="C33" s="18" t="s">
        <v>275</v>
      </c>
      <c r="D33" s="117">
        <f>+Cotizaciones!I25</f>
        <v>990</v>
      </c>
      <c r="E33" s="146">
        <f>B33*D33</f>
        <v>79.2</v>
      </c>
      <c r="F33" s="92"/>
      <c r="H33" s="94">
        <f>+B3*E33</f>
        <v>0</v>
      </c>
      <c r="J33" s="3" t="s">
        <v>276</v>
      </c>
    </row>
    <row r="34" spans="1:11" s="3" customFormat="1" ht="13.8" x14ac:dyDescent="0.3">
      <c r="A34" s="30" t="s">
        <v>277</v>
      </c>
      <c r="B34" s="165">
        <v>0.24</v>
      </c>
      <c r="C34" s="18" t="s">
        <v>275</v>
      </c>
      <c r="D34" s="117">
        <f>+Cotizaciones!I34</f>
        <v>610</v>
      </c>
      <c r="E34" s="146">
        <f>B34*D34</f>
        <v>146.4</v>
      </c>
      <c r="F34" s="92"/>
      <c r="H34" s="94">
        <f>+E34*B3</f>
        <v>0</v>
      </c>
      <c r="J34" s="3" t="s">
        <v>278</v>
      </c>
      <c r="K34" s="3" t="s">
        <v>279</v>
      </c>
    </row>
    <row r="35" spans="1:11" s="3" customFormat="1" ht="13.8" x14ac:dyDescent="0.3">
      <c r="A35" s="30" t="s">
        <v>269</v>
      </c>
      <c r="B35" s="133">
        <f>+B34+B33</f>
        <v>0.32</v>
      </c>
      <c r="C35" s="18" t="s">
        <v>275</v>
      </c>
      <c r="D35" s="522">
        <f>+Cotizaciones!F26</f>
        <v>35</v>
      </c>
      <c r="E35" s="146">
        <f>+D35*B35</f>
        <v>11.200000000000001</v>
      </c>
      <c r="F35" s="92"/>
      <c r="H35" s="94"/>
    </row>
    <row r="36" spans="1:11" s="3" customFormat="1" ht="13.8" x14ac:dyDescent="0.3">
      <c r="A36" s="30"/>
      <c r="B36" s="132"/>
      <c r="C36" s="725" t="s">
        <v>280</v>
      </c>
      <c r="D36" s="725"/>
      <c r="E36" s="157">
        <f>+E35+E34+E33</f>
        <v>236.8</v>
      </c>
      <c r="F36" s="158">
        <f>E36/E62</f>
        <v>0.22666577327679452</v>
      </c>
      <c r="G36" s="127"/>
      <c r="H36" s="140">
        <f>E36*$B$3</f>
        <v>0</v>
      </c>
    </row>
    <row r="37" spans="1:11" s="3" customFormat="1" ht="13.8" x14ac:dyDescent="0.3">
      <c r="A37" s="126" t="s">
        <v>118</v>
      </c>
      <c r="B37" s="134"/>
      <c r="C37" s="67"/>
      <c r="D37" s="67"/>
      <c r="E37" s="68"/>
      <c r="F37" s="78"/>
      <c r="H37" s="94"/>
    </row>
    <row r="38" spans="1:11" s="3" customFormat="1" ht="13.8" x14ac:dyDescent="0.3">
      <c r="A38" s="30"/>
      <c r="B38" s="164"/>
      <c r="C38" s="18"/>
      <c r="D38" s="179"/>
      <c r="E38" s="117"/>
      <c r="F38" s="92"/>
      <c r="H38" s="94" t="s">
        <v>281</v>
      </c>
      <c r="J38" s="3" t="s">
        <v>249</v>
      </c>
    </row>
    <row r="39" spans="1:11" s="3" customFormat="1" ht="13.8" x14ac:dyDescent="0.3">
      <c r="A39" s="30" t="s">
        <v>282</v>
      </c>
      <c r="B39" s="164">
        <v>2</v>
      </c>
      <c r="C39" s="18" t="s">
        <v>283</v>
      </c>
      <c r="D39" s="117">
        <f>+Cotizaciones!I45</f>
        <v>2.6</v>
      </c>
      <c r="E39" s="117">
        <f t="shared" ref="E39:E50" si="1">B39*D39</f>
        <v>5.2</v>
      </c>
      <c r="F39" s="92"/>
      <c r="H39" s="94" t="str">
        <f>A10</f>
        <v>Barbecho Quimico</v>
      </c>
      <c r="J39" s="3" t="s">
        <v>249</v>
      </c>
    </row>
    <row r="40" spans="1:11" s="3" customFormat="1" ht="13.8" x14ac:dyDescent="0.3">
      <c r="A40" s="30" t="s">
        <v>523</v>
      </c>
      <c r="B40" s="164">
        <v>0.12</v>
      </c>
      <c r="C40" s="18" t="s">
        <v>283</v>
      </c>
      <c r="D40" s="117">
        <f>+Cotizaciones!I50</f>
        <v>80</v>
      </c>
      <c r="E40" s="117">
        <f t="shared" si="1"/>
        <v>9.6</v>
      </c>
      <c r="F40" s="92"/>
      <c r="H40" s="94" t="s">
        <v>284</v>
      </c>
      <c r="J40" s="3" t="s">
        <v>249</v>
      </c>
    </row>
    <row r="41" spans="1:11" s="3" customFormat="1" ht="13.8" x14ac:dyDescent="0.3">
      <c r="A41" s="30" t="s">
        <v>127</v>
      </c>
      <c r="B41" s="164">
        <v>2</v>
      </c>
      <c r="C41" s="18" t="s">
        <v>283</v>
      </c>
      <c r="D41" s="117">
        <f>+Cotizaciones!I28</f>
        <v>4.5</v>
      </c>
      <c r="E41" s="117">
        <f t="shared" si="1"/>
        <v>9</v>
      </c>
      <c r="F41" s="92"/>
      <c r="H41" s="94" t="str">
        <f>A10</f>
        <v>Barbecho Quimico</v>
      </c>
      <c r="J41" s="3" t="s">
        <v>249</v>
      </c>
    </row>
    <row r="42" spans="1:11" s="3" customFormat="1" ht="13.8" x14ac:dyDescent="0.3">
      <c r="A42" s="30" t="s">
        <v>7</v>
      </c>
      <c r="B42" s="164">
        <v>1.2</v>
      </c>
      <c r="C42" s="18" t="s">
        <v>283</v>
      </c>
      <c r="D42" s="117">
        <f>+Cotizaciones!I5</f>
        <v>4.5999999999999996</v>
      </c>
      <c r="E42" s="117">
        <f t="shared" si="1"/>
        <v>5.52</v>
      </c>
      <c r="F42" s="92"/>
      <c r="H42" s="94" t="str">
        <f>A10</f>
        <v>Barbecho Quimico</v>
      </c>
      <c r="J42" s="3" t="s">
        <v>249</v>
      </c>
    </row>
    <row r="43" spans="1:11" s="3" customFormat="1" ht="13.8" x14ac:dyDescent="0.3">
      <c r="A43" s="30" t="s">
        <v>76</v>
      </c>
      <c r="B43" s="164">
        <v>0.03</v>
      </c>
      <c r="C43" s="18" t="s">
        <v>283</v>
      </c>
      <c r="D43" s="117">
        <f>+Cotizaciones!I32</f>
        <v>11</v>
      </c>
      <c r="E43" s="117">
        <f t="shared" si="1"/>
        <v>0.32999999999999996</v>
      </c>
      <c r="F43" s="92"/>
      <c r="H43" s="94" t="s">
        <v>251</v>
      </c>
      <c r="J43" s="3" t="s">
        <v>249</v>
      </c>
    </row>
    <row r="44" spans="1:11" s="3" customFormat="1" ht="13.8" x14ac:dyDescent="0.3">
      <c r="A44" s="30" t="s">
        <v>29</v>
      </c>
      <c r="B44" s="164">
        <v>0</v>
      </c>
      <c r="C44" s="18" t="s">
        <v>283</v>
      </c>
      <c r="D44" s="117">
        <f>Cotizaciones!I11</f>
        <v>39</v>
      </c>
      <c r="E44" s="117">
        <f t="shared" si="1"/>
        <v>0</v>
      </c>
      <c r="F44" s="92"/>
      <c r="H44" s="94" t="str">
        <f>+A13</f>
        <v>Pulverización graminicidas</v>
      </c>
      <c r="J44" s="3" t="s">
        <v>268</v>
      </c>
    </row>
    <row r="45" spans="1:11" s="3" customFormat="1" ht="13.8" x14ac:dyDescent="0.3">
      <c r="A45" s="30" t="s">
        <v>131</v>
      </c>
      <c r="B45" s="164">
        <v>2</v>
      </c>
      <c r="C45" s="18" t="s">
        <v>283</v>
      </c>
      <c r="D45" s="117">
        <f>Cotizaciones!I26</f>
        <v>28</v>
      </c>
      <c r="E45" s="146">
        <f t="shared" si="1"/>
        <v>56</v>
      </c>
      <c r="F45" s="92"/>
      <c r="H45" s="94" t="str">
        <f>A16</f>
        <v>Aplicacion  Fungicida Terrestre</v>
      </c>
      <c r="J45" s="3" t="s">
        <v>261</v>
      </c>
    </row>
    <row r="46" spans="1:11" s="3" customFormat="1" ht="13.8" x14ac:dyDescent="0.3">
      <c r="A46" s="30" t="s">
        <v>112</v>
      </c>
      <c r="B46" s="164">
        <v>0.08</v>
      </c>
      <c r="C46" s="18" t="s">
        <v>283</v>
      </c>
      <c r="D46" s="117">
        <f>Cotizaciones!I46</f>
        <v>80</v>
      </c>
      <c r="E46" s="146">
        <f>B46*D46</f>
        <v>6.4</v>
      </c>
      <c r="F46" s="92"/>
      <c r="H46" s="94"/>
      <c r="J46" s="3" t="s">
        <v>285</v>
      </c>
    </row>
    <row r="47" spans="1:11" s="3" customFormat="1" ht="13.8" x14ac:dyDescent="0.3">
      <c r="A47" s="30" t="s">
        <v>66</v>
      </c>
      <c r="B47" s="164">
        <v>0.8</v>
      </c>
      <c r="C47" s="18" t="s">
        <v>283</v>
      </c>
      <c r="D47" s="117">
        <f>+Cotizaciones!I27</f>
        <v>6</v>
      </c>
      <c r="E47" s="117">
        <f t="shared" si="1"/>
        <v>4.8000000000000007</v>
      </c>
      <c r="F47" s="92"/>
      <c r="H47" s="94" t="str">
        <f>A12</f>
        <v>Pulverizacion Post-emergente</v>
      </c>
      <c r="J47" s="3" t="s">
        <v>268</v>
      </c>
    </row>
    <row r="48" spans="1:11" s="3" customFormat="1" ht="13.8" x14ac:dyDescent="0.3">
      <c r="A48" s="30" t="s">
        <v>59</v>
      </c>
      <c r="B48" s="164">
        <v>0.15</v>
      </c>
      <c r="C48" s="18" t="s">
        <v>283</v>
      </c>
      <c r="D48" s="117">
        <f>Cotizaciones!I23</f>
        <v>7</v>
      </c>
      <c r="E48" s="146">
        <f t="shared" si="1"/>
        <v>1.05</v>
      </c>
      <c r="F48" s="92"/>
      <c r="H48" s="94"/>
      <c r="J48" s="3" t="s">
        <v>256</v>
      </c>
    </row>
    <row r="49" spans="1:10" s="3" customFormat="1" ht="13.8" x14ac:dyDescent="0.3">
      <c r="A49" s="30" t="s">
        <v>286</v>
      </c>
      <c r="B49" s="164">
        <v>1</v>
      </c>
      <c r="C49" s="18" t="s">
        <v>283</v>
      </c>
      <c r="D49" s="117">
        <f>+Cotizaciones!I24</f>
        <v>11.8</v>
      </c>
      <c r="E49" s="117">
        <f t="shared" si="1"/>
        <v>11.8</v>
      </c>
      <c r="F49" s="92"/>
      <c r="H49" s="94" t="str">
        <f>H45</f>
        <v>Aplicacion  Fungicida Terrestre</v>
      </c>
      <c r="J49" s="3" t="s">
        <v>261</v>
      </c>
    </row>
    <row r="50" spans="1:10" s="3" customFormat="1" ht="13.8" x14ac:dyDescent="0.3">
      <c r="A50" s="30" t="s">
        <v>86</v>
      </c>
      <c r="B50" s="165">
        <v>6.0000000000000001E-3</v>
      </c>
      <c r="C50" s="18" t="s">
        <v>287</v>
      </c>
      <c r="D50" s="117">
        <f>Cotizaciones!I37</f>
        <v>35</v>
      </c>
      <c r="E50" s="117">
        <f t="shared" si="1"/>
        <v>0.21</v>
      </c>
      <c r="F50" s="92"/>
      <c r="H50" s="94" t="str">
        <f>H41</f>
        <v>Barbecho Quimico</v>
      </c>
      <c r="J50" s="3" t="s">
        <v>249</v>
      </c>
    </row>
    <row r="51" spans="1:10" s="3" customFormat="1" ht="13.8" x14ac:dyDescent="0.3">
      <c r="A51" s="30"/>
      <c r="B51" s="132"/>
      <c r="C51" s="725" t="s">
        <v>288</v>
      </c>
      <c r="D51" s="725"/>
      <c r="E51" s="157">
        <f>+SUM(E38:E50)</f>
        <v>109.91</v>
      </c>
      <c r="F51" s="158">
        <f>E51/E62</f>
        <v>0.10520622947995137</v>
      </c>
      <c r="G51" s="127"/>
      <c r="H51" s="140">
        <f>E51*$B$3</f>
        <v>0</v>
      </c>
    </row>
    <row r="52" spans="1:10" s="3" customFormat="1" ht="13.8" x14ac:dyDescent="0.3">
      <c r="A52" s="30"/>
      <c r="B52" s="130"/>
      <c r="C52" s="18"/>
      <c r="D52" s="28"/>
      <c r="E52" s="29"/>
      <c r="F52" s="92"/>
      <c r="H52" s="94"/>
    </row>
    <row r="53" spans="1:10" s="3" customFormat="1" ht="13.8" x14ac:dyDescent="0.3">
      <c r="A53" s="126" t="s">
        <v>289</v>
      </c>
      <c r="B53" s="166">
        <v>1</v>
      </c>
      <c r="C53" s="12" t="s">
        <v>290</v>
      </c>
      <c r="D53" s="254">
        <v>85</v>
      </c>
      <c r="E53" s="174">
        <f>+D53*B53</f>
        <v>85</v>
      </c>
      <c r="F53" s="78"/>
      <c r="H53" s="95">
        <v>41245</v>
      </c>
      <c r="J53" s="3" t="s">
        <v>268</v>
      </c>
    </row>
    <row r="54" spans="1:10" s="3" customFormat="1" ht="13.8" x14ac:dyDescent="0.3">
      <c r="A54" s="35"/>
      <c r="B54" s="136"/>
      <c r="C54" s="726" t="s">
        <v>291</v>
      </c>
      <c r="D54" s="726"/>
      <c r="E54" s="157">
        <f>+E53</f>
        <v>85</v>
      </c>
      <c r="F54" s="158">
        <f>E54/E62</f>
        <v>8.1362291927903438E-2</v>
      </c>
      <c r="G54" s="127"/>
      <c r="H54" s="140">
        <f>E54*$B$3</f>
        <v>0</v>
      </c>
    </row>
    <row r="55" spans="1:10" s="3" customFormat="1" ht="13.8" x14ac:dyDescent="0.3">
      <c r="A55" s="35"/>
      <c r="B55" s="136"/>
      <c r="C55" s="18"/>
      <c r="D55" s="28"/>
      <c r="E55" s="29"/>
      <c r="F55" s="92"/>
      <c r="H55" s="94"/>
    </row>
    <row r="56" spans="1:10" s="3" customFormat="1" ht="13.8" x14ac:dyDescent="0.3">
      <c r="A56" s="126" t="s">
        <v>292</v>
      </c>
      <c r="B56" s="168">
        <v>2</v>
      </c>
      <c r="C56" s="147" t="s">
        <v>241</v>
      </c>
      <c r="D56" s="148">
        <v>20</v>
      </c>
      <c r="E56" s="65">
        <f>D56</f>
        <v>20</v>
      </c>
      <c r="F56" s="78"/>
      <c r="H56" s="95">
        <v>40909</v>
      </c>
    </row>
    <row r="57" spans="1:10" s="3" customFormat="1" ht="13.8" x14ac:dyDescent="0.3">
      <c r="A57" s="35"/>
      <c r="B57" s="136"/>
      <c r="C57" s="726" t="s">
        <v>293</v>
      </c>
      <c r="D57" s="726"/>
      <c r="E57" s="157">
        <f>E56</f>
        <v>20</v>
      </c>
      <c r="F57" s="158">
        <f>E57/E62</f>
        <v>1.9144068688918454E-2</v>
      </c>
      <c r="G57" s="77"/>
      <c r="H57" s="140">
        <f>E57*$B$3</f>
        <v>0</v>
      </c>
    </row>
    <row r="58" spans="1:10" s="3" customFormat="1" ht="13.8" x14ac:dyDescent="0.3">
      <c r="A58" s="35"/>
      <c r="B58" s="136"/>
      <c r="C58" s="7"/>
      <c r="D58" s="7"/>
      <c r="E58" s="38"/>
      <c r="F58" s="92"/>
      <c r="H58" s="94"/>
    </row>
    <row r="59" spans="1:10" s="3" customFormat="1" ht="13.8" x14ac:dyDescent="0.3">
      <c r="A59" s="126" t="s">
        <v>294</v>
      </c>
      <c r="B59" s="166">
        <v>0</v>
      </c>
      <c r="C59" s="12" t="s">
        <v>295</v>
      </c>
      <c r="D59" s="218" t="s">
        <v>147</v>
      </c>
      <c r="E59" s="64"/>
      <c r="F59" s="78"/>
      <c r="H59" s="94"/>
    </row>
    <row r="60" spans="1:10" s="3" customFormat="1" ht="13.8" x14ac:dyDescent="0.3">
      <c r="A60" s="30"/>
      <c r="B60" s="130"/>
      <c r="C60" s="726" t="s">
        <v>296</v>
      </c>
      <c r="D60" s="726"/>
      <c r="E60" s="79"/>
      <c r="F60" s="91"/>
      <c r="G60" s="77"/>
      <c r="H60" s="140">
        <f>E60*$B$3</f>
        <v>0</v>
      </c>
    </row>
    <row r="61" spans="1:10" s="3" customFormat="1" ht="13.8" x14ac:dyDescent="0.3">
      <c r="A61" s="30"/>
      <c r="B61" s="130"/>
      <c r="C61" s="7"/>
      <c r="D61" s="7"/>
      <c r="E61" s="38"/>
      <c r="F61" s="92"/>
      <c r="H61" s="94"/>
    </row>
    <row r="62" spans="1:10" s="3" customFormat="1" ht="21" x14ac:dyDescent="0.4">
      <c r="A62" s="584"/>
      <c r="B62" s="585"/>
      <c r="C62" s="738" t="s">
        <v>297</v>
      </c>
      <c r="D62" s="738"/>
      <c r="E62" s="586">
        <f>+E51+E36+E30+E27+E25+E21+E54+E57</f>
        <v>1044.71</v>
      </c>
      <c r="F62" s="586">
        <f>+E62*B3</f>
        <v>0</v>
      </c>
      <c r="G62" s="587"/>
      <c r="H62" s="28" t="s">
        <v>298</v>
      </c>
      <c r="I62" s="3" t="s">
        <v>299</v>
      </c>
    </row>
    <row r="63" spans="1:10" s="3" customFormat="1" ht="13.8" x14ac:dyDescent="0.3">
      <c r="A63" s="30"/>
      <c r="B63" s="130"/>
      <c r="C63" s="7"/>
      <c r="D63" s="7"/>
      <c r="E63" s="38"/>
      <c r="F63" s="38"/>
      <c r="G63" s="3" t="str">
        <f>+A7</f>
        <v>Labores</v>
      </c>
      <c r="H63" s="28"/>
    </row>
    <row r="64" spans="1:10" s="3" customFormat="1" ht="13.8" x14ac:dyDescent="0.3">
      <c r="A64" s="126" t="s">
        <v>300</v>
      </c>
      <c r="B64" s="135"/>
      <c r="C64" s="12"/>
      <c r="D64" s="24"/>
      <c r="E64" s="25"/>
      <c r="F64" s="78"/>
      <c r="G64" s="3" t="str">
        <f>+A22</f>
        <v>Semilla</v>
      </c>
      <c r="H64" s="28"/>
    </row>
    <row r="65" spans="1:11" s="3" customFormat="1" ht="13.8" x14ac:dyDescent="0.3">
      <c r="A65" s="35" t="s">
        <v>301</v>
      </c>
      <c r="B65" s="167">
        <v>1.4</v>
      </c>
      <c r="C65" s="18" t="s">
        <v>302</v>
      </c>
      <c r="D65" s="145">
        <f>+Cotizaciones!F24</f>
        <v>3.3</v>
      </c>
      <c r="E65" s="146">
        <f>D65*B65*B80</f>
        <v>26.333999999999996</v>
      </c>
      <c r="F65" s="92"/>
      <c r="G65" s="3" t="str">
        <f>+A26</f>
        <v>Arrendamiento</v>
      </c>
      <c r="H65" s="28"/>
    </row>
    <row r="66" spans="1:11" s="3" customFormat="1" ht="13.8" x14ac:dyDescent="0.3">
      <c r="A66" s="35" t="s">
        <v>303</v>
      </c>
      <c r="B66" s="167">
        <v>0.7</v>
      </c>
      <c r="C66" s="18" t="s">
        <v>304</v>
      </c>
      <c r="D66" s="145">
        <f>Cotizaciones!I40/220</f>
        <v>1.7272727272727273</v>
      </c>
      <c r="E66" s="146">
        <f>D66*B66*B80</f>
        <v>6.8918181818181816</v>
      </c>
      <c r="F66" s="92"/>
      <c r="G66" s="3" t="str">
        <f>+A29</f>
        <v>Gerenciamiento</v>
      </c>
      <c r="H66" s="28"/>
    </row>
    <row r="67" spans="1:11" s="3" customFormat="1" ht="13.8" x14ac:dyDescent="0.3">
      <c r="A67" s="35" t="s">
        <v>305</v>
      </c>
      <c r="B67" s="167">
        <v>0</v>
      </c>
      <c r="C67" s="18" t="s">
        <v>302</v>
      </c>
      <c r="D67" s="145"/>
      <c r="E67" s="146">
        <f>+D67*B67*B80</f>
        <v>0</v>
      </c>
      <c r="F67" s="92"/>
      <c r="H67" s="28"/>
    </row>
    <row r="68" spans="1:11" s="3" customFormat="1" ht="13.8" x14ac:dyDescent="0.3">
      <c r="A68" s="35" t="s">
        <v>306</v>
      </c>
      <c r="B68" s="167">
        <v>0</v>
      </c>
      <c r="C68" s="18" t="s">
        <v>302</v>
      </c>
      <c r="D68" s="444">
        <f>Cotizaciones!F35</f>
        <v>5</v>
      </c>
      <c r="E68" s="146">
        <f>+D68*B68*B80</f>
        <v>0</v>
      </c>
      <c r="F68" s="92"/>
      <c r="H68" s="28"/>
      <c r="J68" s="3">
        <f>60*0.24*246</f>
        <v>3542.3999999999996</v>
      </c>
    </row>
    <row r="69" spans="1:11" s="3" customFormat="1" ht="13.8" x14ac:dyDescent="0.3">
      <c r="A69" s="35" t="s">
        <v>83</v>
      </c>
      <c r="B69" s="167">
        <v>0</v>
      </c>
      <c r="C69" s="18" t="s">
        <v>302</v>
      </c>
      <c r="D69" s="444">
        <f>+Cotizaciones!F36</f>
        <v>6.5</v>
      </c>
      <c r="E69" s="146">
        <f>+D69*B69*B80</f>
        <v>0</v>
      </c>
      <c r="F69" s="92"/>
      <c r="H69" s="28"/>
      <c r="J69" s="3">
        <f>229*246</f>
        <v>56334</v>
      </c>
    </row>
    <row r="70" spans="1:11" s="3" customFormat="1" ht="13.8" x14ac:dyDescent="0.3">
      <c r="A70" s="35" t="s">
        <v>307</v>
      </c>
      <c r="B70" s="167">
        <v>1</v>
      </c>
      <c r="C70" s="18" t="s">
        <v>302</v>
      </c>
      <c r="D70" s="444">
        <f>+Cotizaciones!E5/Cotizaciones!M16</f>
        <v>0.55913978494623651</v>
      </c>
      <c r="E70" s="146">
        <f>+D70*B70*$B$80</f>
        <v>3.1870967741935483</v>
      </c>
      <c r="F70" s="92"/>
      <c r="H70" s="28"/>
    </row>
    <row r="71" spans="1:11" s="3" customFormat="1" ht="13.8" x14ac:dyDescent="0.3">
      <c r="A71" s="35" t="s">
        <v>308</v>
      </c>
      <c r="B71" s="167">
        <v>1</v>
      </c>
      <c r="C71" s="18" t="s">
        <v>302</v>
      </c>
      <c r="D71" s="444">
        <f>+Cotizaciones!F25</f>
        <v>20</v>
      </c>
      <c r="E71" s="146">
        <f>B71*D71*B80</f>
        <v>114</v>
      </c>
      <c r="F71" s="92"/>
      <c r="H71" s="28"/>
      <c r="J71" s="3">
        <f>1.5*246</f>
        <v>369</v>
      </c>
    </row>
    <row r="72" spans="1:11" s="3" customFormat="1" ht="13.8" x14ac:dyDescent="0.3">
      <c r="A72" s="35" t="s">
        <v>309</v>
      </c>
      <c r="B72" s="167"/>
      <c r="C72" s="18"/>
      <c r="D72" s="145"/>
      <c r="E72" s="146"/>
      <c r="F72" s="92"/>
      <c r="H72" s="28"/>
      <c r="J72" s="3">
        <f>+J71*E76</f>
        <v>76147.492873900293</v>
      </c>
    </row>
    <row r="73" spans="1:11" s="3" customFormat="1" ht="13.8" x14ac:dyDescent="0.3">
      <c r="A73" s="35"/>
      <c r="B73" s="137"/>
      <c r="C73" s="725" t="s">
        <v>310</v>
      </c>
      <c r="D73" s="725"/>
      <c r="E73" s="157">
        <f>SUM(E65:E72)</f>
        <v>150.41291495601172</v>
      </c>
      <c r="F73" s="158"/>
      <c r="G73" s="77"/>
      <c r="H73" s="28"/>
      <c r="K73" s="3">
        <f>86*296</f>
        <v>25456</v>
      </c>
    </row>
    <row r="74" spans="1:11" s="3" customFormat="1" ht="13.8" x14ac:dyDescent="0.3">
      <c r="A74" s="213" t="s">
        <v>526</v>
      </c>
      <c r="B74" s="27"/>
      <c r="C74" s="566"/>
      <c r="D74" s="566"/>
      <c r="E74" s="227">
        <f>+Cotizaciones!B9*0.95</f>
        <v>232.75</v>
      </c>
      <c r="F74" s="567"/>
      <c r="H74" s="28"/>
      <c r="K74" s="3">
        <f>K73/12</f>
        <v>2121.3333333333335</v>
      </c>
    </row>
    <row r="75" spans="1:11" s="3" customFormat="1" ht="13.8" x14ac:dyDescent="0.3">
      <c r="A75" s="213" t="s">
        <v>311</v>
      </c>
      <c r="B75" s="30"/>
      <c r="C75" s="18"/>
      <c r="D75" s="28"/>
      <c r="E75" s="227">
        <f>+E73/B80</f>
        <v>26.388230694037144</v>
      </c>
      <c r="F75" s="22">
        <f>+E75/E74</f>
        <v>0.11337585690241522</v>
      </c>
      <c r="H75" s="28"/>
    </row>
    <row r="76" spans="1:11" s="3" customFormat="1" thickBot="1" x14ac:dyDescent="0.35">
      <c r="A76" s="213" t="s">
        <v>312</v>
      </c>
      <c r="D76" s="28"/>
      <c r="E76" s="227">
        <f>+E74-E75</f>
        <v>206.36176930596287</v>
      </c>
      <c r="H76" s="28"/>
    </row>
    <row r="77" spans="1:11" s="3" customFormat="1" thickBot="1" x14ac:dyDescent="0.35">
      <c r="A77" s="727" t="s">
        <v>313</v>
      </c>
      <c r="B77" s="728"/>
      <c r="C77" s="729"/>
      <c r="D77" s="28"/>
      <c r="E77" s="39"/>
      <c r="H77" s="28"/>
    </row>
    <row r="78" spans="1:11" s="3" customFormat="1" thickBot="1" x14ac:dyDescent="0.35">
      <c r="A78" s="30"/>
      <c r="B78" s="132"/>
      <c r="C78" s="18"/>
      <c r="D78" s="28"/>
      <c r="E78" s="18"/>
      <c r="H78" s="94"/>
    </row>
    <row r="79" spans="1:11" s="3" customFormat="1" thickBot="1" x14ac:dyDescent="0.35">
      <c r="A79" s="670" t="s">
        <v>314</v>
      </c>
      <c r="B79" s="671"/>
      <c r="C79" s="672"/>
      <c r="D79" s="733" t="s">
        <v>527</v>
      </c>
      <c r="E79" s="733"/>
      <c r="F79" s="734"/>
      <c r="G79" s="660"/>
      <c r="H79" s="660"/>
      <c r="I79" s="660"/>
    </row>
    <row r="80" spans="1:11" s="3" customFormat="1" thickBot="1" x14ac:dyDescent="0.35">
      <c r="A80" s="193" t="s">
        <v>315</v>
      </c>
      <c r="B80" s="568">
        <v>5.7</v>
      </c>
      <c r="C80" s="194" t="s">
        <v>316</v>
      </c>
      <c r="D80" s="735"/>
      <c r="E80" s="735"/>
      <c r="F80" s="736"/>
      <c r="H80" t="s">
        <v>524</v>
      </c>
      <c r="I80" t="s">
        <v>203</v>
      </c>
      <c r="J80"/>
    </row>
    <row r="81" spans="1:11" s="3" customFormat="1" ht="13.8" x14ac:dyDescent="0.3">
      <c r="A81" s="190" t="s">
        <v>312</v>
      </c>
      <c r="B81" s="528">
        <f>+E76</f>
        <v>206.36176930596287</v>
      </c>
      <c r="C81" s="196" t="s">
        <v>21</v>
      </c>
      <c r="D81" s="569" t="s">
        <v>317</v>
      </c>
      <c r="E81" s="145">
        <f>B82+'Soja 2da. C'!B76</f>
        <v>1443.71</v>
      </c>
      <c r="F81" s="153" t="s">
        <v>318</v>
      </c>
      <c r="G81" s="3" t="s">
        <v>319</v>
      </c>
      <c r="H81" s="98">
        <f>+E21+'Soja 2da. C'!E18</f>
        <v>209</v>
      </c>
      <c r="I81" s="3">
        <v>0</v>
      </c>
    </row>
    <row r="82" spans="1:11" s="3" customFormat="1" ht="13.8" x14ac:dyDescent="0.3">
      <c r="A82" s="191" t="s">
        <v>317</v>
      </c>
      <c r="B82" s="195">
        <f>E62</f>
        <v>1044.71</v>
      </c>
      <c r="C82" s="197" t="s">
        <v>318</v>
      </c>
      <c r="D82" s="570" t="s">
        <v>160</v>
      </c>
      <c r="E82" s="145">
        <f>B84+'Soja 2da. C'!B77</f>
        <v>1625.149516295904</v>
      </c>
      <c r="F82" s="152" t="s">
        <v>318</v>
      </c>
      <c r="G82" s="3" t="s">
        <v>208</v>
      </c>
      <c r="I82" s="537">
        <f>+E27+'Soja 2da. C'!E25</f>
        <v>426</v>
      </c>
    </row>
    <row r="83" spans="1:11" s="3" customFormat="1" ht="13.8" x14ac:dyDescent="0.3">
      <c r="A83" s="191" t="s">
        <v>320</v>
      </c>
      <c r="B83" s="483">
        <f>+E62/B80</f>
        <v>183.28245614035089</v>
      </c>
      <c r="C83" s="197"/>
      <c r="D83" s="571" t="s">
        <v>321</v>
      </c>
      <c r="E83" s="139">
        <f>E82-E81</f>
        <v>181.43951629590401</v>
      </c>
      <c r="F83" s="153" t="s">
        <v>318</v>
      </c>
      <c r="G83" s="3" t="s">
        <v>139</v>
      </c>
      <c r="H83" s="98">
        <f>+E25+'Soja 2da. C'!E22</f>
        <v>159.60000000000002</v>
      </c>
      <c r="J83" s="98"/>
    </row>
    <row r="84" spans="1:11" s="3" customFormat="1" ht="13.8" x14ac:dyDescent="0.3">
      <c r="A84" s="190" t="s">
        <v>322</v>
      </c>
      <c r="B84" s="195">
        <f>+B81*B80*0.98</f>
        <v>1152.7368433431086</v>
      </c>
      <c r="C84" s="196" t="s">
        <v>318</v>
      </c>
      <c r="D84" s="571" t="s">
        <v>167</v>
      </c>
      <c r="E84" s="156">
        <f>E83/E81</f>
        <v>0.12567587416856849</v>
      </c>
      <c r="F84" s="153"/>
      <c r="G84" s="3" t="s">
        <v>323</v>
      </c>
      <c r="I84" s="537">
        <f>+E36</f>
        <v>236.8</v>
      </c>
    </row>
    <row r="85" spans="1:11" s="3" customFormat="1" ht="13.8" x14ac:dyDescent="0.3">
      <c r="A85" s="191" t="s">
        <v>321</v>
      </c>
      <c r="B85" s="244">
        <f>+B84-B82</f>
        <v>108.02684334310857</v>
      </c>
      <c r="C85" s="197" t="s">
        <v>318</v>
      </c>
      <c r="D85" s="570"/>
      <c r="E85" s="184"/>
      <c r="F85" s="153"/>
      <c r="G85" s="3" t="s">
        <v>324</v>
      </c>
      <c r="H85" s="537">
        <f>+E51+'Soja 2da. C'!E46</f>
        <v>159.31</v>
      </c>
      <c r="J85" s="537"/>
    </row>
    <row r="86" spans="1:11" s="3" customFormat="1" ht="13.8" x14ac:dyDescent="0.3">
      <c r="A86" s="191" t="s">
        <v>325</v>
      </c>
      <c r="B86" s="273">
        <f>B85/E62</f>
        <v>0.10340366546037519</v>
      </c>
      <c r="C86" s="197"/>
      <c r="D86" s="571" t="s">
        <v>164</v>
      </c>
      <c r="E86" s="139">
        <f>B88+'Soja 2da. C'!B81</f>
        <v>1240.71</v>
      </c>
      <c r="F86" s="153" t="s">
        <v>318</v>
      </c>
      <c r="G86" s="3" t="s">
        <v>207</v>
      </c>
      <c r="I86" s="3">
        <v>50</v>
      </c>
      <c r="J86" s="98"/>
    </row>
    <row r="87" spans="1:11" s="3" customFormat="1" thickBot="1" x14ac:dyDescent="0.35">
      <c r="A87" s="190" t="s">
        <v>326</v>
      </c>
      <c r="B87" s="234">
        <f>+E62/E76</f>
        <v>5.0625171683377932</v>
      </c>
      <c r="C87" s="197"/>
      <c r="D87" s="572" t="s">
        <v>327</v>
      </c>
      <c r="E87" s="155">
        <f>E83/E86</f>
        <v>0.14623845725101273</v>
      </c>
      <c r="F87" s="154"/>
      <c r="H87" s="98">
        <f>SUM(H81:H86)</f>
        <v>527.91000000000008</v>
      </c>
      <c r="I87" s="98">
        <f>SUM(I81:I86)</f>
        <v>712.8</v>
      </c>
      <c r="J87" s="535">
        <f>+I87+H87</f>
        <v>1240.71</v>
      </c>
      <c r="K87" s="98"/>
    </row>
    <row r="88" spans="1:11" s="3" customFormat="1" ht="13.8" x14ac:dyDescent="0.3">
      <c r="A88" s="191" t="s">
        <v>164</v>
      </c>
      <c r="B88" s="244">
        <f>+E21+E25+E27+E30+E36+E51</f>
        <v>939.70999999999992</v>
      </c>
      <c r="C88" s="197" t="s">
        <v>318</v>
      </c>
      <c r="D88" s="573"/>
      <c r="E88" s="30"/>
      <c r="H88" s="92">
        <f>+H87/J87</f>
        <v>0.42549024348961489</v>
      </c>
      <c r="I88" s="92">
        <f>+I87/J87</f>
        <v>0.57450975651038516</v>
      </c>
      <c r="J88" s="92"/>
      <c r="K88" s="92"/>
    </row>
    <row r="89" spans="1:11" s="3" customFormat="1" thickBot="1" x14ac:dyDescent="0.35">
      <c r="A89" s="191" t="s">
        <v>327</v>
      </c>
      <c r="B89" s="393">
        <f>B85/B88</f>
        <v>0.11495763942398035</v>
      </c>
      <c r="C89" s="392"/>
      <c r="D89" s="28"/>
      <c r="E89" s="30"/>
      <c r="H89" s="94"/>
    </row>
    <row r="90" spans="1:11" s="3" customFormat="1" thickBot="1" x14ac:dyDescent="0.35">
      <c r="A90" s="394" t="s">
        <v>328</v>
      </c>
      <c r="B90" s="396">
        <f>+E62/B81</f>
        <v>5.0625171683377932</v>
      </c>
      <c r="C90" s="395">
        <f>+B90/B80</f>
        <v>0.88816090672592862</v>
      </c>
      <c r="D90" s="76"/>
      <c r="E90" s="76"/>
      <c r="F90" s="76"/>
      <c r="G90" s="76"/>
      <c r="H90" s="76"/>
      <c r="I90" s="76"/>
      <c r="J90" s="76"/>
      <c r="K90" s="76"/>
    </row>
    <row r="91" spans="1:11" s="3" customFormat="1" thickBot="1" x14ac:dyDescent="0.35">
      <c r="A91" s="737" t="s">
        <v>329</v>
      </c>
      <c r="B91" s="737"/>
      <c r="C91" s="34">
        <f>E62</f>
        <v>1044.71</v>
      </c>
      <c r="I91" s="76"/>
      <c r="J91" s="76"/>
      <c r="K91" s="76"/>
    </row>
    <row r="92" spans="1:11" s="3" customFormat="1" ht="15.6" x14ac:dyDescent="0.3">
      <c r="A92" s="742" t="s">
        <v>330</v>
      </c>
      <c r="B92" s="743"/>
      <c r="C92" s="743"/>
      <c r="D92" s="743"/>
      <c r="E92" s="743"/>
      <c r="F92" s="743"/>
      <c r="G92" s="743"/>
      <c r="H92" s="744"/>
      <c r="I92" s="76"/>
      <c r="J92" s="76"/>
      <c r="K92" s="76"/>
    </row>
    <row r="93" spans="1:11" s="3" customFormat="1" ht="13.8" x14ac:dyDescent="0.3">
      <c r="A93" s="739" t="s">
        <v>331</v>
      </c>
      <c r="B93" s="740"/>
      <c r="C93" s="740"/>
      <c r="D93" s="740"/>
      <c r="E93" s="740"/>
      <c r="F93" s="740"/>
      <c r="G93" s="740"/>
      <c r="H93" s="741"/>
    </row>
    <row r="94" spans="1:11" s="3" customFormat="1" ht="13.8" x14ac:dyDescent="0.3">
      <c r="A94" s="408" t="s">
        <v>332</v>
      </c>
      <c r="B94" s="84">
        <f>E94-1.5</f>
        <v>4.2</v>
      </c>
      <c r="C94" s="84">
        <f>E94-1</f>
        <v>4.7</v>
      </c>
      <c r="D94" s="84">
        <f>E94-0.5</f>
        <v>5.2</v>
      </c>
      <c r="E94" s="80">
        <f>B80</f>
        <v>5.7</v>
      </c>
      <c r="F94" s="84">
        <f>E94+0.5</f>
        <v>6.2</v>
      </c>
      <c r="G94" s="84">
        <f>E94+0.8</f>
        <v>6.5</v>
      </c>
      <c r="H94" s="409">
        <f>E94+1.2</f>
        <v>6.9</v>
      </c>
    </row>
    <row r="95" spans="1:11" s="3" customFormat="1" ht="13.8" x14ac:dyDescent="0.3">
      <c r="A95" s="410">
        <f>A96-10</f>
        <v>176.36176930596287</v>
      </c>
      <c r="B95" s="48">
        <f>B104/C91*100</f>
        <v>-29.098081660456575</v>
      </c>
      <c r="C95" s="48">
        <f>C104/C91*100</f>
        <v>-20.657377096225225</v>
      </c>
      <c r="D95" s="48">
        <f>D104/C91*100</f>
        <v>-12.216672531993861</v>
      </c>
      <c r="E95" s="49">
        <f>E104/C91*100</f>
        <v>-3.7759679677625071</v>
      </c>
      <c r="F95" s="48">
        <f>F104/C91*100</f>
        <v>4.6647365964688579</v>
      </c>
      <c r="G95" s="48">
        <f>G104/C91*100</f>
        <v>9.7291593350076617</v>
      </c>
      <c r="H95" s="411">
        <f>H104/C91*100</f>
        <v>16.481722986392761</v>
      </c>
    </row>
    <row r="96" spans="1:11" s="3" customFormat="1" ht="13.8" x14ac:dyDescent="0.3">
      <c r="A96" s="410">
        <f>A97-10</f>
        <v>186.36176930596287</v>
      </c>
      <c r="B96" s="48">
        <f>B105/C91*100</f>
        <v>-25.077827235783701</v>
      </c>
      <c r="C96" s="48">
        <f>C105/C91*100</f>
        <v>-16.15852095432939</v>
      </c>
      <c r="D96" s="48">
        <f>D105/C91*100</f>
        <v>-7.2392146728750619</v>
      </c>
      <c r="E96" s="49">
        <f>E105/C91*100</f>
        <v>1.6800916085792637</v>
      </c>
      <c r="F96" s="48">
        <f>F105/C91*100</f>
        <v>10.599397890033577</v>
      </c>
      <c r="G96" s="48">
        <f>G105/C91*100</f>
        <v>15.950981658906157</v>
      </c>
      <c r="H96" s="411">
        <f>H105/C91*100</f>
        <v>23.086426684069629</v>
      </c>
    </row>
    <row r="97" spans="1:8" s="3" customFormat="1" ht="13.8" x14ac:dyDescent="0.3">
      <c r="A97" s="410">
        <f>A98-10</f>
        <v>196.36176930596287</v>
      </c>
      <c r="B97" s="48">
        <f>B106/C91*100</f>
        <v>-21.057572811110827</v>
      </c>
      <c r="C97" s="48">
        <f>C106/C91*100</f>
        <v>-11.659664812433551</v>
      </c>
      <c r="D97" s="48">
        <f>D106/C91*100</f>
        <v>-2.2617568137562638</v>
      </c>
      <c r="E97" s="49">
        <f>E106/C91*100</f>
        <v>7.1361511849210233</v>
      </c>
      <c r="F97" s="48">
        <f>F106/C91*100</f>
        <v>16.534059183598298</v>
      </c>
      <c r="G97" s="48">
        <f>G106/C91*100</f>
        <v>22.172803982804655</v>
      </c>
      <c r="H97" s="411">
        <f>H106/C91*100</f>
        <v>29.691130381746493</v>
      </c>
    </row>
    <row r="98" spans="1:8" s="3" customFormat="1" ht="13.8" x14ac:dyDescent="0.3">
      <c r="A98" s="412">
        <f>B81</f>
        <v>206.36176930596287</v>
      </c>
      <c r="B98" s="52">
        <f>B107/C91*100</f>
        <v>-17.037318386437953</v>
      </c>
      <c r="C98" s="53">
        <f>C107/C91*100</f>
        <v>-7.1608086705377136</v>
      </c>
      <c r="D98" s="53">
        <f>D107/C91*100</f>
        <v>2.7157010453625237</v>
      </c>
      <c r="E98" s="54">
        <f>E107/C91*100</f>
        <v>12.592210761262784</v>
      </c>
      <c r="F98" s="53">
        <f>F107/C91*100</f>
        <v>22.468720477163021</v>
      </c>
      <c r="G98" s="53">
        <f>G107/C91*100</f>
        <v>28.394626306703152</v>
      </c>
      <c r="H98" s="413">
        <f>H107/C91*100</f>
        <v>36.295834079423358</v>
      </c>
    </row>
    <row r="99" spans="1:8" s="3" customFormat="1" ht="13.8" x14ac:dyDescent="0.3">
      <c r="A99" s="410">
        <f>A98+10</f>
        <v>216.36176930596287</v>
      </c>
      <c r="B99" s="56">
        <f>B108/C91*100</f>
        <v>-13.017063961765077</v>
      </c>
      <c r="C99" s="56">
        <f>C108/C91*100</f>
        <v>-2.6619525286418768</v>
      </c>
      <c r="D99" s="56">
        <f>D108/C91*100</f>
        <v>7.6931589044813213</v>
      </c>
      <c r="E99" s="57">
        <f>E108/C91*100</f>
        <v>18.048270337604542</v>
      </c>
      <c r="F99" s="56">
        <f>F108/C91*100</f>
        <v>28.403381770727741</v>
      </c>
      <c r="G99" s="56">
        <f>G108/C91*100</f>
        <v>34.616448630601653</v>
      </c>
      <c r="H99" s="414">
        <f>H108/C91*100</f>
        <v>42.900537777100226</v>
      </c>
    </row>
    <row r="100" spans="1:8" s="3" customFormat="1" ht="13.8" x14ac:dyDescent="0.3">
      <c r="A100" s="410">
        <f>A99+10</f>
        <v>226.36176930596287</v>
      </c>
      <c r="B100" s="56">
        <f>B109/C91*100</f>
        <v>-8.9968095370922008</v>
      </c>
      <c r="C100" s="56">
        <f>C109/C91*100</f>
        <v>1.83690361325396</v>
      </c>
      <c r="D100" s="56">
        <f>D109/C91*100</f>
        <v>12.670616763600121</v>
      </c>
      <c r="E100" s="57">
        <f>E109/C91*100</f>
        <v>23.504329913946304</v>
      </c>
      <c r="F100" s="56">
        <f>F109/C91*100</f>
        <v>34.338043064292464</v>
      </c>
      <c r="G100" s="56">
        <f>G109/C91*100</f>
        <v>40.838270954500153</v>
      </c>
      <c r="H100" s="414">
        <f>H109/C91*100</f>
        <v>49.505241474777094</v>
      </c>
    </row>
    <row r="101" spans="1:8" s="3" customFormat="1" ht="13.8" x14ac:dyDescent="0.3">
      <c r="A101" s="410">
        <f>A100+10</f>
        <v>236.36176930596287</v>
      </c>
      <c r="B101" s="56">
        <f>B110/C91*100</f>
        <v>-4.9765551124193248</v>
      </c>
      <c r="C101" s="56">
        <f>C110/C91*100</f>
        <v>6.3357597551497973</v>
      </c>
      <c r="D101" s="56">
        <f>D110/C91*100</f>
        <v>17.648074622718919</v>
      </c>
      <c r="E101" s="57">
        <f>E110/C91*100</f>
        <v>28.960389490288062</v>
      </c>
      <c r="F101" s="56">
        <f>F110/C91*100</f>
        <v>40.272704357857187</v>
      </c>
      <c r="G101" s="56">
        <f>G110/C91*100</f>
        <v>47.060093278398647</v>
      </c>
      <c r="H101" s="414">
        <f>H110/C91*100</f>
        <v>56.109945172453969</v>
      </c>
    </row>
    <row r="102" spans="1:8" s="3" customFormat="1" x14ac:dyDescent="0.3">
      <c r="A102" s="730" t="s">
        <v>333</v>
      </c>
      <c r="B102" s="731"/>
      <c r="C102" s="731"/>
      <c r="D102" s="731"/>
      <c r="E102" s="731"/>
      <c r="F102" s="731"/>
      <c r="G102" s="731"/>
      <c r="H102" s="732"/>
    </row>
    <row r="103" spans="1:8" s="3" customFormat="1" x14ac:dyDescent="0.3">
      <c r="A103" s="415" t="s">
        <v>332</v>
      </c>
      <c r="B103" s="400">
        <f>E103-1.5</f>
        <v>4.2</v>
      </c>
      <c r="C103" s="400">
        <f>E103-1</f>
        <v>4.7</v>
      </c>
      <c r="D103" s="400">
        <f>E103-0.5</f>
        <v>5.2</v>
      </c>
      <c r="E103" s="401">
        <f>B80</f>
        <v>5.7</v>
      </c>
      <c r="F103" s="400">
        <f>E103+0.5</f>
        <v>6.2</v>
      </c>
      <c r="G103" s="400">
        <f>E103+0.8</f>
        <v>6.5</v>
      </c>
      <c r="H103" s="416">
        <f>E103+1.2</f>
        <v>6.9</v>
      </c>
    </row>
    <row r="104" spans="1:8" s="3" customFormat="1" x14ac:dyDescent="0.3">
      <c r="A104" s="417">
        <f>A105-10</f>
        <v>176.36176930596287</v>
      </c>
      <c r="B104" s="420">
        <f>(B103*A104)-C91</f>
        <v>-303.99056891495593</v>
      </c>
      <c r="C104" s="420">
        <f>(C103*A104)-C91</f>
        <v>-215.80968426197455</v>
      </c>
      <c r="D104" s="420">
        <f>(D103*A104)-C91</f>
        <v>-127.62879960899306</v>
      </c>
      <c r="E104" s="421">
        <f>(E103*A104)-C91</f>
        <v>-39.447914956011687</v>
      </c>
      <c r="F104" s="420">
        <f>(F103*A104)-C91</f>
        <v>48.732969696969803</v>
      </c>
      <c r="G104" s="420">
        <f>(G103*A104)-C91</f>
        <v>101.64150048875854</v>
      </c>
      <c r="H104" s="422">
        <f>(H103*A104)-C91</f>
        <v>172.18620821114382</v>
      </c>
    </row>
    <row r="105" spans="1:8" s="3" customFormat="1" x14ac:dyDescent="0.3">
      <c r="A105" s="417">
        <f>A106-10</f>
        <v>186.36176930596287</v>
      </c>
      <c r="B105" s="420">
        <f>(B103*A105)-C91</f>
        <v>-261.99056891495593</v>
      </c>
      <c r="C105" s="420">
        <f>(C103*A105)-C91</f>
        <v>-168.80968426197455</v>
      </c>
      <c r="D105" s="420">
        <f>(D103*A105)-C91</f>
        <v>-75.628799608993063</v>
      </c>
      <c r="E105" s="421">
        <f>(E103*A105)-C91</f>
        <v>17.552085043988427</v>
      </c>
      <c r="F105" s="420">
        <f>(F103*A105)-C91</f>
        <v>110.7329696969698</v>
      </c>
      <c r="G105" s="420">
        <f>(G103*A105)-C91</f>
        <v>166.64150048875854</v>
      </c>
      <c r="H105" s="422">
        <f>(H103*A105)-C91</f>
        <v>241.18620821114382</v>
      </c>
    </row>
    <row r="106" spans="1:8" s="3" customFormat="1" x14ac:dyDescent="0.3">
      <c r="A106" s="417">
        <f>A107-10</f>
        <v>196.36176930596287</v>
      </c>
      <c r="B106" s="420">
        <f>(A106*B103)-C91</f>
        <v>-219.99056891495593</v>
      </c>
      <c r="C106" s="420">
        <f>(C103*A106)-C91</f>
        <v>-121.80968426197455</v>
      </c>
      <c r="D106" s="420">
        <f>(D103*A106)-C91</f>
        <v>-23.628799608993063</v>
      </c>
      <c r="E106" s="421">
        <f>(E103*A106)-C91</f>
        <v>74.552085043988427</v>
      </c>
      <c r="F106" s="420">
        <f>(F103*A106)-C91</f>
        <v>172.7329696969698</v>
      </c>
      <c r="G106" s="420">
        <f>(G103*A106)-C91</f>
        <v>231.64150048875854</v>
      </c>
      <c r="H106" s="422">
        <f>(H103*A106)-C91</f>
        <v>310.18620821114382</v>
      </c>
    </row>
    <row r="107" spans="1:8" s="3" customFormat="1" x14ac:dyDescent="0.3">
      <c r="A107" s="418">
        <f>B81</f>
        <v>206.36176930596287</v>
      </c>
      <c r="B107" s="423">
        <f>(A107*B103)-C91</f>
        <v>-177.99056891495593</v>
      </c>
      <c r="C107" s="423">
        <f>(A107*C103)-C91</f>
        <v>-74.809684261974553</v>
      </c>
      <c r="D107" s="423">
        <f>(D103*A107)-C91</f>
        <v>28.371200391006823</v>
      </c>
      <c r="E107" s="424">
        <f>(A107*E103)-C91</f>
        <v>131.55208504398843</v>
      </c>
      <c r="F107" s="423">
        <f>(A107*F103)-C91</f>
        <v>234.7329696969698</v>
      </c>
      <c r="G107" s="423">
        <f>(G103*A107)-C91</f>
        <v>296.64150048875854</v>
      </c>
      <c r="H107" s="425">
        <f>(H103*A107)-C91</f>
        <v>379.18620821114382</v>
      </c>
    </row>
    <row r="108" spans="1:8" s="3" customFormat="1" x14ac:dyDescent="0.3">
      <c r="A108" s="417">
        <f>A107+10</f>
        <v>216.36176930596287</v>
      </c>
      <c r="B108" s="426">
        <f>(A108*B103)-C91</f>
        <v>-135.99056891495593</v>
      </c>
      <c r="C108" s="426">
        <f>(C103*A108)-C91</f>
        <v>-27.809684261974553</v>
      </c>
      <c r="D108" s="426">
        <f>(D103*A108)-C91</f>
        <v>80.371200391006823</v>
      </c>
      <c r="E108" s="427">
        <f>(E103*A108)-C91</f>
        <v>188.55208504398843</v>
      </c>
      <c r="F108" s="426">
        <f>(F103*A108)-C91</f>
        <v>296.7329696969698</v>
      </c>
      <c r="G108" s="426">
        <f>(G103*A108)-C91</f>
        <v>361.64150048875854</v>
      </c>
      <c r="H108" s="428">
        <f>(H103*A108)-C91</f>
        <v>448.18620821114382</v>
      </c>
    </row>
    <row r="109" spans="1:8" s="3" customFormat="1" x14ac:dyDescent="0.3">
      <c r="A109" s="417">
        <f>A108+10</f>
        <v>226.36176930596287</v>
      </c>
      <c r="B109" s="426">
        <f>(A109*B103)-C91</f>
        <v>-93.990568914955929</v>
      </c>
      <c r="C109" s="426">
        <f>(C103*A109)-C91</f>
        <v>19.190315738025447</v>
      </c>
      <c r="D109" s="426">
        <f>(D103*A109)-C91</f>
        <v>132.37120039100682</v>
      </c>
      <c r="E109" s="427">
        <f>(E103*A109)-C91</f>
        <v>245.55208504398843</v>
      </c>
      <c r="F109" s="426">
        <f>(F103*A109)-C91</f>
        <v>358.7329696969698</v>
      </c>
      <c r="G109" s="426">
        <f>(G103*A109)-C91</f>
        <v>426.64150048875854</v>
      </c>
      <c r="H109" s="428">
        <f>(H103*A109)-C91</f>
        <v>517.18620821114382</v>
      </c>
    </row>
    <row r="110" spans="1:8" ht="15" thickBot="1" x14ac:dyDescent="0.35">
      <c r="A110" s="419">
        <f>A109+10</f>
        <v>236.36176930596287</v>
      </c>
      <c r="B110" s="429">
        <f>(B103*A110)-C91</f>
        <v>-51.990568914955929</v>
      </c>
      <c r="C110" s="429">
        <f>(C103*A110)-C91</f>
        <v>66.190315738025447</v>
      </c>
      <c r="D110" s="429">
        <f>(D103*A110)-C91</f>
        <v>184.37120039100682</v>
      </c>
      <c r="E110" s="430">
        <f>(E103*A110)-C91</f>
        <v>302.55208504398843</v>
      </c>
      <c r="F110" s="429">
        <f>(F103*A110)-C91</f>
        <v>420.7329696969698</v>
      </c>
      <c r="G110" s="429">
        <f>(G103*A110)-C91</f>
        <v>491.64150048875854</v>
      </c>
      <c r="H110" s="431">
        <f>(A110*H103)-C91</f>
        <v>586.18620821114382</v>
      </c>
    </row>
  </sheetData>
  <mergeCells count="20">
    <mergeCell ref="A102:H102"/>
    <mergeCell ref="D79:F80"/>
    <mergeCell ref="A91:B91"/>
    <mergeCell ref="C54:D54"/>
    <mergeCell ref="C73:D73"/>
    <mergeCell ref="C57:D57"/>
    <mergeCell ref="C60:D60"/>
    <mergeCell ref="C62:D62"/>
    <mergeCell ref="A93:H93"/>
    <mergeCell ref="A92:H92"/>
    <mergeCell ref="C51:D51"/>
    <mergeCell ref="A79:C79"/>
    <mergeCell ref="A1:H1"/>
    <mergeCell ref="C21:D21"/>
    <mergeCell ref="C25:D25"/>
    <mergeCell ref="C27:D27"/>
    <mergeCell ref="C30:D30"/>
    <mergeCell ref="C36:D36"/>
    <mergeCell ref="G79:I79"/>
    <mergeCell ref="A77:C77"/>
  </mergeCells>
  <pageMargins left="0.25" right="0.25" top="0.75" bottom="0.75" header="0.3" footer="0.3"/>
  <pageSetup paperSize="9" scale="50" firstPageNumber="0" orientation="landscape" horizontalDpi="300" verticalDpi="300" r:id="rId1"/>
  <headerFooter alignWithMargins="0">
    <oddHeader>&amp;C&amp;A</oddHeader>
    <oddFooter>&amp;CPágina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2"/>
  <sheetViews>
    <sheetView showGridLines="0" topLeftCell="A58" zoomScale="95" zoomScaleNormal="95" workbookViewId="0">
      <selection activeCell="B74" sqref="B74"/>
    </sheetView>
  </sheetViews>
  <sheetFormatPr baseColWidth="10" defaultColWidth="10.6640625" defaultRowHeight="14.4" x14ac:dyDescent="0.3"/>
  <cols>
    <col min="1" max="1" width="27.44140625" style="1" bestFit="1" customWidth="1"/>
    <col min="2" max="2" width="10.5546875" style="96" customWidth="1"/>
    <col min="3" max="3" width="11" style="1" customWidth="1"/>
    <col min="4" max="4" width="11" style="2" bestFit="1" customWidth="1"/>
    <col min="5" max="5" width="12.44140625" style="1" bestFit="1" customWidth="1"/>
    <col min="6" max="6" width="7" style="1" customWidth="1"/>
    <col min="7" max="7" width="19.33203125" style="1" customWidth="1"/>
    <col min="8" max="8" width="12.6640625" style="96" customWidth="1"/>
    <col min="9" max="9" width="10.6640625" style="1"/>
    <col min="10" max="10" width="14.44140625" style="1" bestFit="1" customWidth="1"/>
    <col min="11" max="16384" width="10.6640625" style="1"/>
  </cols>
  <sheetData>
    <row r="1" spans="1:10" s="3" customFormat="1" ht="21.6" thickBot="1" x14ac:dyDescent="0.45">
      <c r="A1" s="664" t="s">
        <v>334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Proy'!B24</f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  <c r="J5" s="3" t="s">
        <v>244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G7" s="15"/>
      <c r="H7" s="94"/>
    </row>
    <row r="8" spans="1:10" s="3" customFormat="1" ht="13.8" x14ac:dyDescent="0.3">
      <c r="A8" s="16" t="s">
        <v>246</v>
      </c>
      <c r="B8" s="163">
        <v>0</v>
      </c>
      <c r="C8" s="18" t="s">
        <v>247</v>
      </c>
      <c r="D8" s="146">
        <f>Cotizaciones!F8</f>
        <v>0</v>
      </c>
      <c r="E8" s="146">
        <f>B8*D8</f>
        <v>0</v>
      </c>
      <c r="F8" s="94"/>
      <c r="G8" s="94"/>
      <c r="H8" s="94" t="s">
        <v>248</v>
      </c>
      <c r="J8" s="3" t="s">
        <v>249</v>
      </c>
    </row>
    <row r="9" spans="1:10" s="3" customFormat="1" ht="13.8" x14ac:dyDescent="0.3">
      <c r="A9" s="16" t="s">
        <v>250</v>
      </c>
      <c r="B9" s="163">
        <v>0</v>
      </c>
      <c r="C9" s="18" t="s">
        <v>247</v>
      </c>
      <c r="D9" s="146">
        <f>Cotizaciones!F18</f>
        <v>17</v>
      </c>
      <c r="E9" s="146">
        <f>B9*D9</f>
        <v>0</v>
      </c>
      <c r="F9" s="94"/>
      <c r="G9" s="94"/>
      <c r="H9" s="94" t="s">
        <v>248</v>
      </c>
      <c r="J9" s="3" t="s">
        <v>249</v>
      </c>
    </row>
    <row r="10" spans="1:10" s="3" customFormat="1" ht="13.8" x14ac:dyDescent="0.3">
      <c r="A10" s="16" t="s">
        <v>251</v>
      </c>
      <c r="B10" s="163">
        <v>1</v>
      </c>
      <c r="C10" s="18" t="s">
        <v>247</v>
      </c>
      <c r="D10" s="146">
        <f>Cotizaciones!F17</f>
        <v>5</v>
      </c>
      <c r="E10" s="146">
        <f t="shared" ref="E10:E19" si="0">B10*D10</f>
        <v>5</v>
      </c>
      <c r="F10" s="94"/>
      <c r="G10" s="94"/>
      <c r="H10" s="95">
        <v>41030</v>
      </c>
      <c r="J10" s="3" t="s">
        <v>249</v>
      </c>
    </row>
    <row r="11" spans="1:10" s="3" customFormat="1" ht="13.8" x14ac:dyDescent="0.3">
      <c r="A11" s="16" t="s">
        <v>252</v>
      </c>
      <c r="B11" s="163">
        <v>1</v>
      </c>
      <c r="C11" s="18" t="s">
        <v>247</v>
      </c>
      <c r="D11" s="146">
        <f>Cotizaciones!F21</f>
        <v>42</v>
      </c>
      <c r="E11" s="146">
        <f t="shared" si="0"/>
        <v>42</v>
      </c>
      <c r="F11" s="94"/>
      <c r="G11" s="94"/>
      <c r="H11" s="95">
        <v>41061</v>
      </c>
      <c r="J11" s="3" t="s">
        <v>253</v>
      </c>
    </row>
    <row r="12" spans="1:10" s="3" customFormat="1" ht="13.8" x14ac:dyDescent="0.3">
      <c r="A12" s="16" t="s">
        <v>254</v>
      </c>
      <c r="B12" s="163">
        <v>1</v>
      </c>
      <c r="C12" s="18" t="s">
        <v>247</v>
      </c>
      <c r="D12" s="146">
        <f>Cotizaciones!F17</f>
        <v>5</v>
      </c>
      <c r="E12" s="146">
        <f t="shared" si="0"/>
        <v>5</v>
      </c>
      <c r="F12" s="94"/>
      <c r="G12" s="94"/>
      <c r="H12" s="94" t="s">
        <v>255</v>
      </c>
      <c r="J12" s="3" t="s">
        <v>256</v>
      </c>
    </row>
    <row r="13" spans="1:10" s="3" customFormat="1" ht="13.8" x14ac:dyDescent="0.3">
      <c r="A13" s="16" t="s">
        <v>257</v>
      </c>
      <c r="B13" s="163">
        <v>0.5</v>
      </c>
      <c r="C13" s="18" t="s">
        <v>247</v>
      </c>
      <c r="D13" s="146">
        <f>Cotizaciones!F17</f>
        <v>5</v>
      </c>
      <c r="E13" s="146">
        <f t="shared" si="0"/>
        <v>2.5</v>
      </c>
      <c r="F13" s="94"/>
      <c r="G13" s="94"/>
      <c r="H13" s="94" t="s">
        <v>255</v>
      </c>
      <c r="J13" s="3" t="s">
        <v>256</v>
      </c>
    </row>
    <row r="14" spans="1:10" s="3" customFormat="1" ht="13.8" x14ac:dyDescent="0.3">
      <c r="A14" s="16" t="s">
        <v>258</v>
      </c>
      <c r="B14" s="163">
        <v>1</v>
      </c>
      <c r="C14" s="18" t="s">
        <v>247</v>
      </c>
      <c r="D14" s="146">
        <f>Cotizaciones!F10</f>
        <v>0</v>
      </c>
      <c r="E14" s="146">
        <f t="shared" si="0"/>
        <v>0</v>
      </c>
      <c r="F14" s="94"/>
      <c r="G14" s="94"/>
      <c r="H14" s="95">
        <v>41091</v>
      </c>
      <c r="I14" s="93">
        <v>41122</v>
      </c>
      <c r="J14" s="3" t="s">
        <v>253</v>
      </c>
    </row>
    <row r="15" spans="1:10" s="3" customFormat="1" ht="13.8" x14ac:dyDescent="0.3">
      <c r="A15" s="16" t="s">
        <v>335</v>
      </c>
      <c r="B15" s="163">
        <v>1</v>
      </c>
      <c r="C15" s="18" t="s">
        <v>247</v>
      </c>
      <c r="D15" s="146">
        <f>Cotizaciones!F17</f>
        <v>5</v>
      </c>
      <c r="E15" s="146">
        <f t="shared" si="0"/>
        <v>5</v>
      </c>
      <c r="F15" s="94"/>
      <c r="G15" s="94"/>
      <c r="H15" s="94" t="s">
        <v>260</v>
      </c>
      <c r="J15" s="3" t="s">
        <v>261</v>
      </c>
    </row>
    <row r="16" spans="1:10" s="3" customFormat="1" ht="13.8" x14ac:dyDescent="0.3">
      <c r="A16" s="16" t="s">
        <v>262</v>
      </c>
      <c r="B16" s="163">
        <v>0</v>
      </c>
      <c r="C16" s="18" t="s">
        <v>247</v>
      </c>
      <c r="D16" s="146">
        <v>1</v>
      </c>
      <c r="E16" s="146">
        <f t="shared" si="0"/>
        <v>0</v>
      </c>
      <c r="F16" s="94"/>
      <c r="G16" s="94"/>
      <c r="H16" s="95">
        <v>41030</v>
      </c>
      <c r="J16" s="3" t="s">
        <v>249</v>
      </c>
    </row>
    <row r="17" spans="1:10" s="3" customFormat="1" ht="13.8" x14ac:dyDescent="0.3">
      <c r="A17" s="16" t="s">
        <v>263</v>
      </c>
      <c r="B17" s="163">
        <v>0</v>
      </c>
      <c r="C17" s="18" t="s">
        <v>247</v>
      </c>
      <c r="D17" s="146">
        <v>1</v>
      </c>
      <c r="E17" s="146">
        <f t="shared" si="0"/>
        <v>0</v>
      </c>
      <c r="F17" s="94"/>
      <c r="G17" s="94"/>
      <c r="H17" s="95">
        <v>41030</v>
      </c>
      <c r="J17" s="3" t="s">
        <v>249</v>
      </c>
    </row>
    <row r="18" spans="1:10" s="3" customFormat="1" ht="13.8" x14ac:dyDescent="0.3">
      <c r="A18" s="16" t="s">
        <v>264</v>
      </c>
      <c r="B18" s="163">
        <v>0</v>
      </c>
      <c r="C18" s="18" t="s">
        <v>247</v>
      </c>
      <c r="D18" s="146">
        <v>1</v>
      </c>
      <c r="E18" s="146">
        <f t="shared" si="0"/>
        <v>0</v>
      </c>
      <c r="F18" s="94"/>
      <c r="G18" s="94"/>
      <c r="H18" s="94"/>
    </row>
    <row r="19" spans="1:10" s="3" customFormat="1" ht="13.8" x14ac:dyDescent="0.3">
      <c r="A19" s="16" t="s">
        <v>32</v>
      </c>
      <c r="B19" s="163">
        <v>0</v>
      </c>
      <c r="C19" s="18" t="s">
        <v>247</v>
      </c>
      <c r="D19" s="146">
        <f>Cotizaciones!F12</f>
        <v>0</v>
      </c>
      <c r="E19" s="146">
        <f t="shared" si="0"/>
        <v>0</v>
      </c>
      <c r="F19" s="94"/>
      <c r="G19" s="94"/>
      <c r="H19" s="94"/>
    </row>
    <row r="20" spans="1:10" s="3" customFormat="1" ht="13.8" x14ac:dyDescent="0.3">
      <c r="B20" s="131"/>
      <c r="C20" s="725" t="s">
        <v>265</v>
      </c>
      <c r="D20" s="725"/>
      <c r="E20" s="127">
        <f>SUM(E8:E19)</f>
        <v>59.5</v>
      </c>
      <c r="F20" s="91">
        <f>E20/E70</f>
        <v>7.1476021896889536E-2</v>
      </c>
      <c r="G20" s="129"/>
      <c r="H20" s="140">
        <f>E20*$B$3</f>
        <v>0</v>
      </c>
    </row>
    <row r="21" spans="1:10" s="3" customFormat="1" ht="13.8" x14ac:dyDescent="0.3">
      <c r="A21" s="126" t="s">
        <v>205</v>
      </c>
      <c r="B21" s="90"/>
      <c r="C21" s="12"/>
      <c r="D21" s="24"/>
      <c r="E21" s="25"/>
      <c r="F21" s="78"/>
      <c r="H21" s="94"/>
    </row>
    <row r="22" spans="1:10" s="3" customFormat="1" ht="13.8" x14ac:dyDescent="0.3">
      <c r="A22" s="30" t="s">
        <v>91</v>
      </c>
      <c r="B22" s="164">
        <v>0.12</v>
      </c>
      <c r="C22" s="18" t="s">
        <v>21</v>
      </c>
      <c r="D22" s="145">
        <f>Cotizaciones!E40</f>
        <v>0.52</v>
      </c>
      <c r="E22" s="162">
        <f>B22*D22</f>
        <v>6.2399999999999997E-2</v>
      </c>
      <c r="F22" s="92"/>
      <c r="H22" s="94" t="s">
        <v>267</v>
      </c>
      <c r="J22" s="3" t="s">
        <v>268</v>
      </c>
    </row>
    <row r="23" spans="1:10" s="3" customFormat="1" ht="13.8" x14ac:dyDescent="0.3">
      <c r="A23" s="30"/>
      <c r="B23" s="132"/>
      <c r="C23" s="725" t="s">
        <v>270</v>
      </c>
      <c r="D23" s="725"/>
      <c r="E23" s="127">
        <f>SUM(E22:E22)</f>
        <v>6.2399999999999997E-2</v>
      </c>
      <c r="F23" s="158">
        <f>E23/E70</f>
        <v>7.4959727165813551E-5</v>
      </c>
      <c r="G23" s="127"/>
      <c r="H23" s="140">
        <f>E23*$B$3</f>
        <v>0</v>
      </c>
    </row>
    <row r="24" spans="1:10" s="3" customFormat="1" ht="13.8" x14ac:dyDescent="0.3">
      <c r="A24" s="30"/>
      <c r="B24" s="130"/>
      <c r="C24" s="18"/>
      <c r="D24" s="28"/>
      <c r="E24" s="29"/>
      <c r="F24" s="92"/>
      <c r="H24" s="94"/>
    </row>
    <row r="25" spans="1:10" s="3" customFormat="1" ht="13.8" x14ac:dyDescent="0.3">
      <c r="A25" s="126" t="s">
        <v>206</v>
      </c>
      <c r="B25" s="90">
        <v>1</v>
      </c>
      <c r="C25" s="12" t="s">
        <v>247</v>
      </c>
      <c r="D25" s="173">
        <f>260*0.8</f>
        <v>208</v>
      </c>
      <c r="E25" s="175">
        <f>B25*D25</f>
        <v>208</v>
      </c>
      <c r="F25" s="78"/>
      <c r="H25" s="94"/>
    </row>
    <row r="26" spans="1:10" s="3" customFormat="1" ht="13.8" x14ac:dyDescent="0.3">
      <c r="A26" s="30"/>
      <c r="B26" s="130"/>
      <c r="C26" s="726" t="s">
        <v>271</v>
      </c>
      <c r="D26" s="726"/>
      <c r="E26" s="157">
        <f>E25</f>
        <v>208</v>
      </c>
      <c r="F26" s="158">
        <f>E26/E70</f>
        <v>0.24986575721937854</v>
      </c>
      <c r="G26" s="127"/>
      <c r="H26" s="140">
        <f>E26*$B$3</f>
        <v>0</v>
      </c>
    </row>
    <row r="27" spans="1:10" s="3" customFormat="1" ht="13.8" x14ac:dyDescent="0.3">
      <c r="A27" s="30"/>
      <c r="B27" s="130"/>
      <c r="C27" s="18"/>
      <c r="D27" s="28"/>
      <c r="E27" s="29"/>
      <c r="F27" s="92"/>
      <c r="H27" s="94"/>
    </row>
    <row r="28" spans="1:10" s="3" customFormat="1" ht="13.8" x14ac:dyDescent="0.3">
      <c r="A28" s="126" t="s">
        <v>207</v>
      </c>
      <c r="B28" s="281">
        <v>1</v>
      </c>
      <c r="C28" s="12" t="s">
        <v>272</v>
      </c>
      <c r="D28" s="173">
        <f>B76*5%</f>
        <v>61.25</v>
      </c>
      <c r="E28" s="174">
        <f>D28</f>
        <v>61.25</v>
      </c>
      <c r="F28" s="78"/>
      <c r="H28" s="94"/>
    </row>
    <row r="29" spans="1:10" s="3" customFormat="1" ht="13.8" x14ac:dyDescent="0.3">
      <c r="A29" s="30"/>
      <c r="B29" s="130"/>
      <c r="C29" s="726" t="s">
        <v>273</v>
      </c>
      <c r="D29" s="726"/>
      <c r="E29" s="127">
        <f>E28</f>
        <v>61.25</v>
      </c>
      <c r="F29" s="158">
        <f>E29/E70</f>
        <v>7.3578257835033342E-2</v>
      </c>
      <c r="G29" s="127"/>
      <c r="H29" s="140">
        <f>E29*$B$3</f>
        <v>0</v>
      </c>
    </row>
    <row r="30" spans="1:10" s="3" customFormat="1" ht="13.8" x14ac:dyDescent="0.3">
      <c r="A30" s="30"/>
      <c r="B30" s="130"/>
      <c r="C30" s="7"/>
      <c r="D30" s="7"/>
      <c r="E30" s="33"/>
      <c r="F30" s="92"/>
      <c r="H30" s="94"/>
    </row>
    <row r="31" spans="1:10" s="3" customFormat="1" ht="13.8" x14ac:dyDescent="0.3">
      <c r="A31" s="126" t="s">
        <v>140</v>
      </c>
      <c r="B31" s="130"/>
      <c r="C31" s="18"/>
      <c r="D31" s="28"/>
      <c r="E31" s="29"/>
      <c r="F31" s="92"/>
      <c r="H31" s="94"/>
    </row>
    <row r="32" spans="1:10" s="3" customFormat="1" ht="13.8" x14ac:dyDescent="0.3">
      <c r="A32" s="30" t="s">
        <v>274</v>
      </c>
      <c r="B32" s="165">
        <v>7.0000000000000007E-2</v>
      </c>
      <c r="C32" s="18" t="s">
        <v>275</v>
      </c>
      <c r="D32" s="161">
        <f>Cotizaciones!I25+Cotizaciones!F26</f>
        <v>1025</v>
      </c>
      <c r="E32" s="146">
        <f>B32*D32</f>
        <v>71.75</v>
      </c>
      <c r="F32" s="92"/>
      <c r="H32" s="94"/>
      <c r="J32" s="3" t="s">
        <v>336</v>
      </c>
    </row>
    <row r="33" spans="1:13" s="3" customFormat="1" ht="13.8" x14ac:dyDescent="0.3">
      <c r="A33" s="30" t="s">
        <v>277</v>
      </c>
      <c r="B33" s="165">
        <v>0.15</v>
      </c>
      <c r="C33" s="18" t="s">
        <v>275</v>
      </c>
      <c r="D33" s="161">
        <f>Cotizaciones!I34+Cotizaciones!F26</f>
        <v>645</v>
      </c>
      <c r="E33" s="146">
        <f>B33*D33</f>
        <v>96.75</v>
      </c>
      <c r="F33" s="92"/>
      <c r="H33" s="94"/>
      <c r="J33" s="3" t="s">
        <v>336</v>
      </c>
    </row>
    <row r="34" spans="1:13" s="3" customFormat="1" ht="13.8" x14ac:dyDescent="0.3">
      <c r="A34" s="30"/>
      <c r="B34" s="133"/>
      <c r="C34" s="18"/>
      <c r="D34" s="97"/>
      <c r="E34" s="34"/>
      <c r="F34" s="92"/>
      <c r="H34" s="94"/>
    </row>
    <row r="35" spans="1:13" s="3" customFormat="1" ht="13.8" x14ac:dyDescent="0.3">
      <c r="A35" s="30"/>
      <c r="B35" s="132"/>
      <c r="C35" s="725" t="s">
        <v>280</v>
      </c>
      <c r="D35" s="725"/>
      <c r="E35" s="157">
        <f>SUM(E32:E33)</f>
        <v>168.5</v>
      </c>
      <c r="F35" s="158">
        <f>E35/E70</f>
        <v>0.20241528890127539</v>
      </c>
      <c r="G35" s="127"/>
      <c r="H35" s="140">
        <f>E35*$B$3</f>
        <v>0</v>
      </c>
    </row>
    <row r="36" spans="1:13" s="3" customFormat="1" ht="13.8" x14ac:dyDescent="0.3">
      <c r="A36" s="126" t="s">
        <v>118</v>
      </c>
      <c r="B36" s="134"/>
      <c r="C36" s="67"/>
      <c r="D36" s="67"/>
      <c r="E36" s="68"/>
      <c r="F36" s="78"/>
      <c r="H36" s="94"/>
    </row>
    <row r="37" spans="1:13" s="3" customFormat="1" ht="13.8" x14ac:dyDescent="0.3">
      <c r="A37" s="30" t="s">
        <v>122</v>
      </c>
      <c r="B37" s="164">
        <v>0</v>
      </c>
      <c r="C37" s="18" t="s">
        <v>283</v>
      </c>
      <c r="D37" s="117">
        <f>Cotizaciones!I22</f>
        <v>80</v>
      </c>
      <c r="E37" s="117">
        <f t="shared" ref="E37:E48" si="1">B37*D37</f>
        <v>0</v>
      </c>
      <c r="F37" s="92"/>
      <c r="H37" s="94" t="s">
        <v>281</v>
      </c>
      <c r="J37" s="3" t="s">
        <v>249</v>
      </c>
    </row>
    <row r="38" spans="1:13" s="3" customFormat="1" ht="13.8" x14ac:dyDescent="0.3">
      <c r="A38" s="30" t="s">
        <v>124</v>
      </c>
      <c r="B38" s="164">
        <v>0.3</v>
      </c>
      <c r="C38" s="18" t="s">
        <v>283</v>
      </c>
      <c r="D38" s="117">
        <f>Cotizaciones!I21</f>
        <v>12</v>
      </c>
      <c r="E38" s="117">
        <f t="shared" si="1"/>
        <v>3.5999999999999996</v>
      </c>
      <c r="F38" s="92"/>
      <c r="H38" s="94" t="str">
        <f>A10</f>
        <v>Barbecho Quimico</v>
      </c>
      <c r="J38" s="3" t="s">
        <v>249</v>
      </c>
      <c r="M38" s="3" t="str">
        <f>+A13</f>
        <v>Pulverización graminicidas</v>
      </c>
    </row>
    <row r="39" spans="1:13" s="3" customFormat="1" ht="13.8" x14ac:dyDescent="0.3">
      <c r="A39" s="30" t="s">
        <v>12</v>
      </c>
      <c r="B39" s="164">
        <v>1</v>
      </c>
      <c r="C39" s="18" t="s">
        <v>283</v>
      </c>
      <c r="D39" s="117">
        <f>Cotizaciones!I6</f>
        <v>3</v>
      </c>
      <c r="E39" s="117">
        <f t="shared" si="1"/>
        <v>3</v>
      </c>
      <c r="F39" s="92"/>
      <c r="H39" s="94" t="s">
        <v>335</v>
      </c>
      <c r="J39" s="3" t="s">
        <v>249</v>
      </c>
    </row>
    <row r="40" spans="1:13" s="3" customFormat="1" ht="13.8" x14ac:dyDescent="0.3">
      <c r="A40" s="30" t="s">
        <v>68</v>
      </c>
      <c r="B40" s="164">
        <v>3</v>
      </c>
      <c r="C40" s="18" t="s">
        <v>283</v>
      </c>
      <c r="D40" s="117">
        <f>Cotizaciones!I28</f>
        <v>4.5</v>
      </c>
      <c r="E40" s="117">
        <f t="shared" si="1"/>
        <v>13.5</v>
      </c>
      <c r="F40" s="92"/>
      <c r="H40" s="94" t="str">
        <f>A10</f>
        <v>Barbecho Quimico</v>
      </c>
      <c r="J40" s="3" t="s">
        <v>249</v>
      </c>
    </row>
    <row r="41" spans="1:13" s="3" customFormat="1" ht="13.8" x14ac:dyDescent="0.3">
      <c r="A41" s="30" t="s">
        <v>7</v>
      </c>
      <c r="B41" s="164">
        <v>0.5</v>
      </c>
      <c r="C41" s="18" t="s">
        <v>283</v>
      </c>
      <c r="D41" s="117">
        <f>Cotizaciones!I5</f>
        <v>4.5999999999999996</v>
      </c>
      <c r="E41" s="117">
        <f t="shared" si="1"/>
        <v>2.2999999999999998</v>
      </c>
      <c r="F41" s="92"/>
      <c r="H41" s="94" t="str">
        <f>A10</f>
        <v>Barbecho Quimico</v>
      </c>
      <c r="J41" s="3" t="s">
        <v>256</v>
      </c>
    </row>
    <row r="42" spans="1:13" s="3" customFormat="1" ht="13.8" x14ac:dyDescent="0.3">
      <c r="A42" s="30" t="s">
        <v>29</v>
      </c>
      <c r="B42" s="164">
        <v>0.3</v>
      </c>
      <c r="C42" s="18" t="s">
        <v>283</v>
      </c>
      <c r="D42" s="117">
        <f>Cotizaciones!I11</f>
        <v>39</v>
      </c>
      <c r="E42" s="117">
        <f t="shared" si="1"/>
        <v>11.7</v>
      </c>
      <c r="F42" s="92"/>
      <c r="H42" s="94" t="str">
        <f>+A13</f>
        <v>Pulverización graminicidas</v>
      </c>
      <c r="J42" s="3" t="s">
        <v>261</v>
      </c>
    </row>
    <row r="43" spans="1:13" s="3" customFormat="1" ht="13.8" x14ac:dyDescent="0.3">
      <c r="A43" s="30" t="s">
        <v>337</v>
      </c>
      <c r="B43" s="164">
        <v>1</v>
      </c>
      <c r="C43" s="18" t="s">
        <v>283</v>
      </c>
      <c r="D43" s="117">
        <f>Cotizaciones!I26</f>
        <v>28</v>
      </c>
      <c r="E43" s="146">
        <f t="shared" si="1"/>
        <v>28</v>
      </c>
      <c r="F43" s="92"/>
      <c r="H43" s="94" t="str">
        <f>A15</f>
        <v>Aplicación Fungicida</v>
      </c>
      <c r="J43" s="3" t="s">
        <v>256</v>
      </c>
    </row>
    <row r="44" spans="1:13" s="3" customFormat="1" ht="13.8" x14ac:dyDescent="0.3">
      <c r="A44" s="30" t="s">
        <v>133</v>
      </c>
      <c r="B44" s="164">
        <v>0.6</v>
      </c>
      <c r="C44" s="18" t="s">
        <v>283</v>
      </c>
      <c r="D44" s="117">
        <f>Cotizaciones!I46</f>
        <v>80</v>
      </c>
      <c r="E44" s="146">
        <f>B44*D44</f>
        <v>48</v>
      </c>
      <c r="F44" s="92"/>
      <c r="H44" s="94"/>
    </row>
    <row r="45" spans="1:13" s="3" customFormat="1" ht="13.8" x14ac:dyDescent="0.3">
      <c r="A45" s="30" t="s">
        <v>87</v>
      </c>
      <c r="B45" s="164">
        <v>0.05</v>
      </c>
      <c r="C45" s="18" t="s">
        <v>338</v>
      </c>
      <c r="D45" s="117">
        <f>Cotizaciones!I38</f>
        <v>125</v>
      </c>
      <c r="E45" s="117">
        <f t="shared" si="1"/>
        <v>6.25</v>
      </c>
      <c r="F45" s="92"/>
      <c r="H45" s="94" t="str">
        <f>A12</f>
        <v>Pulverizacion Post-emergente</v>
      </c>
      <c r="J45" s="3" t="s">
        <v>256</v>
      </c>
    </row>
    <row r="46" spans="1:13" s="3" customFormat="1" ht="13.8" x14ac:dyDescent="0.3">
      <c r="A46" s="30" t="s">
        <v>59</v>
      </c>
      <c r="B46" s="164">
        <v>0.15</v>
      </c>
      <c r="C46" s="18" t="s">
        <v>283</v>
      </c>
      <c r="D46" s="117">
        <f>Cotizaciones!I23</f>
        <v>7</v>
      </c>
      <c r="E46" s="146">
        <f t="shared" si="1"/>
        <v>1.05</v>
      </c>
      <c r="F46" s="92"/>
      <c r="H46" s="94"/>
      <c r="J46" s="3" t="s">
        <v>261</v>
      </c>
    </row>
    <row r="47" spans="1:13" s="3" customFormat="1" ht="13.8" x14ac:dyDescent="0.3">
      <c r="A47" s="30" t="s">
        <v>51</v>
      </c>
      <c r="B47" s="164">
        <v>0.4</v>
      </c>
      <c r="C47" s="18" t="s">
        <v>283</v>
      </c>
      <c r="D47" s="117">
        <f>Cotizaciones!I19</f>
        <v>7</v>
      </c>
      <c r="E47" s="117">
        <f t="shared" si="1"/>
        <v>2.8000000000000003</v>
      </c>
      <c r="F47" s="92"/>
      <c r="H47" s="94" t="str">
        <f>H43</f>
        <v>Aplicación Fungicida</v>
      </c>
      <c r="J47" s="3" t="s">
        <v>249</v>
      </c>
    </row>
    <row r="48" spans="1:13" s="3" customFormat="1" ht="13.8" x14ac:dyDescent="0.3">
      <c r="A48" s="30" t="s">
        <v>86</v>
      </c>
      <c r="B48" s="165">
        <v>4.0000000000000001E-3</v>
      </c>
      <c r="C48" s="18" t="s">
        <v>287</v>
      </c>
      <c r="D48" s="117">
        <f>Cotizaciones!I37</f>
        <v>35</v>
      </c>
      <c r="E48" s="117">
        <f t="shared" si="1"/>
        <v>0.14000000000000001</v>
      </c>
      <c r="F48" s="92"/>
      <c r="H48" s="94" t="str">
        <f>H40</f>
        <v>Barbecho Quimico</v>
      </c>
      <c r="J48" s="3" t="s">
        <v>249</v>
      </c>
    </row>
    <row r="49" spans="1:8" s="3" customFormat="1" ht="13.8" x14ac:dyDescent="0.3">
      <c r="A49" s="30"/>
      <c r="B49" s="132"/>
      <c r="C49" s="725" t="s">
        <v>288</v>
      </c>
      <c r="D49" s="725"/>
      <c r="E49" s="157">
        <f>+SUM(E37:E48)</f>
        <v>120.33999999999999</v>
      </c>
      <c r="F49" s="158">
        <f>E49/E70</f>
        <v>0.14456175588355774</v>
      </c>
      <c r="G49" s="127"/>
      <c r="H49" s="140">
        <f>E49*$B$3</f>
        <v>0</v>
      </c>
    </row>
    <row r="50" spans="1:8" s="3" customFormat="1" ht="13.8" x14ac:dyDescent="0.3">
      <c r="A50" s="30"/>
      <c r="B50" s="130"/>
      <c r="C50" s="18"/>
      <c r="D50" s="28"/>
      <c r="E50" s="29"/>
      <c r="F50" s="92"/>
      <c r="H50" s="94"/>
    </row>
    <row r="51" spans="1:8" s="3" customFormat="1" ht="13.8" x14ac:dyDescent="0.3">
      <c r="A51" s="126" t="s">
        <v>289</v>
      </c>
      <c r="B51" s="166">
        <v>1</v>
      </c>
      <c r="C51" s="12" t="s">
        <v>290</v>
      </c>
      <c r="D51" s="256">
        <v>69</v>
      </c>
      <c r="E51" s="257">
        <f>+D51*B51</f>
        <v>69</v>
      </c>
      <c r="F51" s="78"/>
      <c r="H51" s="95">
        <v>41245</v>
      </c>
    </row>
    <row r="52" spans="1:8" s="3" customFormat="1" ht="13.8" x14ac:dyDescent="0.3">
      <c r="A52" s="35"/>
      <c r="B52" s="136"/>
      <c r="C52" s="726" t="s">
        <v>291</v>
      </c>
      <c r="D52" s="726"/>
      <c r="E52" s="157">
        <f>E51</f>
        <v>69</v>
      </c>
      <c r="F52" s="158">
        <f>E52/E70</f>
        <v>8.2888159846813067E-2</v>
      </c>
      <c r="G52" s="127"/>
      <c r="H52" s="140">
        <f>E52*$B$3</f>
        <v>0</v>
      </c>
    </row>
    <row r="53" spans="1:8" s="3" customFormat="1" ht="13.8" x14ac:dyDescent="0.3">
      <c r="A53" s="126" t="s">
        <v>300</v>
      </c>
      <c r="B53" s="135"/>
      <c r="C53" s="12"/>
      <c r="D53" s="24"/>
      <c r="E53" s="25"/>
      <c r="F53" s="78"/>
      <c r="H53" s="94"/>
    </row>
    <row r="54" spans="1:8" s="3" customFormat="1" ht="13.8" x14ac:dyDescent="0.3">
      <c r="A54" s="35" t="s">
        <v>301</v>
      </c>
      <c r="B54" s="167">
        <v>0</v>
      </c>
      <c r="C54" s="18" t="s">
        <v>302</v>
      </c>
      <c r="D54" s="145">
        <f>Cotizaciones!F24</f>
        <v>3.3</v>
      </c>
      <c r="E54" s="146">
        <f>D54*B54*B73</f>
        <v>0</v>
      </c>
      <c r="F54" s="92"/>
      <c r="H54" s="94"/>
    </row>
    <row r="55" spans="1:8" s="3" customFormat="1" ht="13.8" x14ac:dyDescent="0.3">
      <c r="A55" s="35" t="s">
        <v>303</v>
      </c>
      <c r="B55" s="167">
        <v>0</v>
      </c>
      <c r="C55" s="18" t="s">
        <v>304</v>
      </c>
      <c r="D55" s="145">
        <f>Cotizaciones!I40/180</f>
        <v>2.1111111111111112</v>
      </c>
      <c r="E55" s="146">
        <f>D55*B55*B73</f>
        <v>0</v>
      </c>
      <c r="F55" s="92"/>
      <c r="H55" s="94"/>
    </row>
    <row r="56" spans="1:8" s="3" customFormat="1" ht="13.8" x14ac:dyDescent="0.3">
      <c r="A56" s="35" t="s">
        <v>305</v>
      </c>
      <c r="B56" s="167">
        <v>0</v>
      </c>
      <c r="C56" s="18" t="s">
        <v>302</v>
      </c>
      <c r="D56" s="145">
        <f>Cotizaciones!F27</f>
        <v>3</v>
      </c>
      <c r="E56" s="146">
        <f>+D56*B56*B73</f>
        <v>0</v>
      </c>
      <c r="F56" s="92"/>
      <c r="H56" s="94"/>
    </row>
    <row r="57" spans="1:8" s="3" customFormat="1" ht="13.8" x14ac:dyDescent="0.3">
      <c r="A57" s="35" t="s">
        <v>306</v>
      </c>
      <c r="B57" s="167">
        <v>0.4</v>
      </c>
      <c r="C57" s="18" t="s">
        <v>302</v>
      </c>
      <c r="D57" s="145">
        <f>Cotizaciones!F35</f>
        <v>5</v>
      </c>
      <c r="E57" s="146">
        <f>+D57*B57*B73</f>
        <v>10</v>
      </c>
      <c r="F57" s="92"/>
      <c r="H57" s="94"/>
    </row>
    <row r="58" spans="1:8" s="3" customFormat="1" ht="13.8" x14ac:dyDescent="0.3">
      <c r="A58" s="35" t="s">
        <v>83</v>
      </c>
      <c r="B58" s="167">
        <v>0.4</v>
      </c>
      <c r="C58" s="18" t="s">
        <v>302</v>
      </c>
      <c r="D58" s="145">
        <f>Cotizaciones!F36</f>
        <v>6.5</v>
      </c>
      <c r="E58" s="146">
        <f>+D58*B58*B73</f>
        <v>13</v>
      </c>
      <c r="F58" s="92"/>
      <c r="H58" s="94"/>
    </row>
    <row r="59" spans="1:8" s="3" customFormat="1" ht="13.8" x14ac:dyDescent="0.3">
      <c r="A59" s="35" t="s">
        <v>307</v>
      </c>
      <c r="B59" s="167">
        <v>0.4</v>
      </c>
      <c r="C59" s="18" t="s">
        <v>302</v>
      </c>
      <c r="D59" s="145">
        <f>Cotizaciones!F5</f>
        <v>0</v>
      </c>
      <c r="E59" s="146">
        <f>+D59*B59*$B$73</f>
        <v>0</v>
      </c>
      <c r="F59" s="92"/>
      <c r="H59" s="94"/>
    </row>
    <row r="60" spans="1:8" s="3" customFormat="1" ht="13.8" x14ac:dyDescent="0.3">
      <c r="A60" s="35" t="s">
        <v>308</v>
      </c>
      <c r="B60" s="167">
        <v>1</v>
      </c>
      <c r="C60" s="18" t="s">
        <v>302</v>
      </c>
      <c r="D60" s="145">
        <f>Cotizaciones!F25</f>
        <v>20</v>
      </c>
      <c r="E60" s="146">
        <f>B60*D60*B73</f>
        <v>100</v>
      </c>
      <c r="F60" s="92"/>
      <c r="H60" s="94"/>
    </row>
    <row r="61" spans="1:8" s="3" customFormat="1" ht="13.8" x14ac:dyDescent="0.3">
      <c r="A61" s="35" t="s">
        <v>309</v>
      </c>
      <c r="B61" s="167">
        <v>0</v>
      </c>
      <c r="C61" s="18" t="s">
        <v>295</v>
      </c>
      <c r="D61" s="145">
        <f>B61%*B76</f>
        <v>0</v>
      </c>
      <c r="E61" s="146">
        <f>D61</f>
        <v>0</v>
      </c>
      <c r="F61" s="92"/>
      <c r="H61" s="94"/>
    </row>
    <row r="62" spans="1:8" s="3" customFormat="1" ht="13.8" x14ac:dyDescent="0.3">
      <c r="A62" s="35"/>
      <c r="B62" s="137"/>
      <c r="C62" s="725" t="s">
        <v>310</v>
      </c>
      <c r="D62" s="725"/>
      <c r="E62" s="157">
        <f>SUM(E54:E61)</f>
        <v>123</v>
      </c>
      <c r="F62" s="158">
        <f>E62/E70</f>
        <v>0.14775715450953633</v>
      </c>
      <c r="G62" s="77"/>
      <c r="H62" s="140">
        <f>E62*$B$3</f>
        <v>0</v>
      </c>
    </row>
    <row r="63" spans="1:8" s="3" customFormat="1" ht="13.8" x14ac:dyDescent="0.3">
      <c r="A63" s="35"/>
      <c r="B63" s="136"/>
      <c r="C63" s="18"/>
      <c r="D63" s="28"/>
      <c r="E63" s="29"/>
      <c r="F63" s="92"/>
      <c r="H63" s="94"/>
    </row>
    <row r="64" spans="1:8" s="3" customFormat="1" ht="13.8" x14ac:dyDescent="0.3">
      <c r="A64" s="126" t="s">
        <v>292</v>
      </c>
      <c r="B64" s="168">
        <v>4</v>
      </c>
      <c r="C64" s="147" t="s">
        <v>241</v>
      </c>
      <c r="D64" s="148">
        <f>B64%*B80</f>
        <v>22.794599999999999</v>
      </c>
      <c r="E64" s="65">
        <f>D64</f>
        <v>22.794599999999999</v>
      </c>
      <c r="F64" s="78"/>
      <c r="H64" s="95">
        <v>40909</v>
      </c>
    </row>
    <row r="65" spans="1:9" s="3" customFormat="1" ht="13.8" x14ac:dyDescent="0.3">
      <c r="A65" s="35"/>
      <c r="B65" s="136"/>
      <c r="C65" s="726" t="s">
        <v>293</v>
      </c>
      <c r="D65" s="726"/>
      <c r="E65" s="157">
        <f>E64</f>
        <v>22.794599999999999</v>
      </c>
      <c r="F65" s="158">
        <f>E65/E70</f>
        <v>2.7382644180350219E-2</v>
      </c>
      <c r="G65" s="77"/>
      <c r="H65" s="140">
        <f>E65*$B$3</f>
        <v>0</v>
      </c>
    </row>
    <row r="66" spans="1:9" s="3" customFormat="1" ht="13.8" x14ac:dyDescent="0.3">
      <c r="A66" s="35"/>
      <c r="B66" s="136"/>
      <c r="C66" s="7"/>
      <c r="D66" s="7"/>
      <c r="E66" s="38"/>
      <c r="F66" s="92"/>
      <c r="H66" s="94"/>
    </row>
    <row r="67" spans="1:9" s="3" customFormat="1" ht="13.8" x14ac:dyDescent="0.3">
      <c r="A67" s="126" t="s">
        <v>294</v>
      </c>
      <c r="B67" s="166">
        <v>0</v>
      </c>
      <c r="C67" s="12" t="s">
        <v>295</v>
      </c>
      <c r="D67" s="71">
        <v>0</v>
      </c>
      <c r="E67" s="64">
        <f>(E20+E23+E35+E49)*D67/100</f>
        <v>0</v>
      </c>
      <c r="F67" s="78"/>
      <c r="H67" s="94"/>
    </row>
    <row r="68" spans="1:9" s="3" customFormat="1" ht="13.8" x14ac:dyDescent="0.3">
      <c r="A68" s="30"/>
      <c r="B68" s="130"/>
      <c r="C68" s="726" t="s">
        <v>296</v>
      </c>
      <c r="D68" s="726"/>
      <c r="E68" s="79"/>
      <c r="F68" s="91"/>
      <c r="G68" s="77"/>
      <c r="H68" s="140">
        <f>E68*$B$3</f>
        <v>0</v>
      </c>
    </row>
    <row r="69" spans="1:9" s="3" customFormat="1" ht="13.8" x14ac:dyDescent="0.3">
      <c r="A69" s="30"/>
      <c r="B69" s="130"/>
      <c r="C69" s="7"/>
      <c r="D69" s="7"/>
      <c r="E69" s="38"/>
      <c r="F69" s="92"/>
      <c r="H69" s="94"/>
    </row>
    <row r="70" spans="1:9" s="3" customFormat="1" ht="13.8" x14ac:dyDescent="0.3">
      <c r="A70" s="72"/>
      <c r="B70" s="138"/>
      <c r="C70" s="748" t="s">
        <v>317</v>
      </c>
      <c r="D70" s="748"/>
      <c r="E70" s="81">
        <f>E20+E23+E26+E29+E35+E49+E52+E62+E65+E68</f>
        <v>832.447</v>
      </c>
      <c r="F70" s="82"/>
      <c r="H70" s="94"/>
    </row>
    <row r="71" spans="1:9" s="3" customFormat="1" thickBot="1" x14ac:dyDescent="0.35">
      <c r="A71" s="30"/>
      <c r="B71" s="132"/>
      <c r="C71" s="18"/>
      <c r="D71" s="28"/>
      <c r="E71" s="18"/>
      <c r="H71" s="94"/>
    </row>
    <row r="72" spans="1:9" s="3" customFormat="1" thickBot="1" x14ac:dyDescent="0.35">
      <c r="A72" s="670" t="s">
        <v>339</v>
      </c>
      <c r="B72" s="671"/>
      <c r="C72" s="672"/>
      <c r="D72" s="28"/>
      <c r="E72" s="18"/>
      <c r="G72" s="660"/>
      <c r="H72" s="660"/>
      <c r="I72" s="660"/>
    </row>
    <row r="73" spans="1:9" s="3" customFormat="1" ht="13.8" x14ac:dyDescent="0.3">
      <c r="A73" s="193" t="s">
        <v>315</v>
      </c>
      <c r="B73" s="265">
        <v>5</v>
      </c>
      <c r="C73" s="194" t="s">
        <v>316</v>
      </c>
      <c r="D73" s="749"/>
      <c r="E73" s="749"/>
      <c r="F73" s="749"/>
      <c r="G73" s="750" t="s">
        <v>340</v>
      </c>
      <c r="H73" s="733"/>
      <c r="I73" s="734"/>
    </row>
    <row r="74" spans="1:9" s="3" customFormat="1" thickBot="1" x14ac:dyDescent="0.35">
      <c r="A74" s="190" t="s">
        <v>341</v>
      </c>
      <c r="B74" s="195">
        <f>Cotizaciones!B9</f>
        <v>245</v>
      </c>
      <c r="C74" s="196" t="s">
        <v>21</v>
      </c>
      <c r="D74" s="28"/>
      <c r="E74" s="18"/>
      <c r="G74" s="751"/>
      <c r="H74" s="735"/>
      <c r="I74" s="736"/>
    </row>
    <row r="75" spans="1:9" s="3" customFormat="1" ht="13.8" x14ac:dyDescent="0.3">
      <c r="A75" s="191" t="s">
        <v>317</v>
      </c>
      <c r="B75" s="195">
        <f>E70</f>
        <v>832.447</v>
      </c>
      <c r="C75" s="197" t="s">
        <v>318</v>
      </c>
      <c r="D75" s="28"/>
      <c r="E75" s="18"/>
      <c r="G75" s="189" t="s">
        <v>317</v>
      </c>
      <c r="H75" s="145">
        <f>B75+'Soja 2da. C'!B76</f>
        <v>1231.4470000000001</v>
      </c>
      <c r="I75" s="153" t="s">
        <v>318</v>
      </c>
    </row>
    <row r="76" spans="1:9" s="3" customFormat="1" ht="13.8" x14ac:dyDescent="0.3">
      <c r="A76" s="190" t="s">
        <v>160</v>
      </c>
      <c r="B76" s="195">
        <f>+B74*B73</f>
        <v>1225</v>
      </c>
      <c r="C76" s="196" t="s">
        <v>318</v>
      </c>
      <c r="D76" s="28"/>
      <c r="E76" s="30"/>
      <c r="G76" s="190" t="s">
        <v>160</v>
      </c>
      <c r="H76" s="145">
        <f>B76+'Soja 2da. C'!B77</f>
        <v>1697.4126729527952</v>
      </c>
      <c r="I76" s="152" t="s">
        <v>318</v>
      </c>
    </row>
    <row r="77" spans="1:9" s="3" customFormat="1" ht="13.8" x14ac:dyDescent="0.3">
      <c r="A77" s="191" t="s">
        <v>321</v>
      </c>
      <c r="B77" s="244">
        <f>+B76-B75</f>
        <v>392.553</v>
      </c>
      <c r="C77" s="197" t="s">
        <v>318</v>
      </c>
      <c r="D77" s="28"/>
      <c r="E77" s="30"/>
      <c r="G77" s="191" t="s">
        <v>321</v>
      </c>
      <c r="H77" s="139">
        <f>H76-H75</f>
        <v>465.9656729527951</v>
      </c>
      <c r="I77" s="153" t="s">
        <v>318</v>
      </c>
    </row>
    <row r="78" spans="1:9" s="3" customFormat="1" ht="13.8" x14ac:dyDescent="0.3">
      <c r="A78" s="191" t="s">
        <v>325</v>
      </c>
      <c r="B78" s="273">
        <f>B77/E70</f>
        <v>0.47156515670066684</v>
      </c>
      <c r="C78" s="197"/>
      <c r="D78" s="28"/>
      <c r="E78" s="30"/>
      <c r="G78" s="191" t="s">
        <v>167</v>
      </c>
      <c r="H78" s="156">
        <f>H77/H75</f>
        <v>0.37838873532746037</v>
      </c>
      <c r="I78" s="153"/>
    </row>
    <row r="79" spans="1:9" s="3" customFormat="1" ht="13.8" x14ac:dyDescent="0.3">
      <c r="A79" s="190" t="s">
        <v>326</v>
      </c>
      <c r="B79" s="234">
        <f>(E20+E23+E26+E35+E49+E65+E52+E29)/(B74-B61%*B74-D54*B54-D55*B55-D56*B56-D57*B57-D58*B58-D59*B59-D60*B60)</f>
        <v>3.2189065335753178</v>
      </c>
      <c r="C79" s="197"/>
      <c r="D79" s="28"/>
      <c r="E79" s="30"/>
      <c r="G79" s="190"/>
      <c r="H79" s="184"/>
      <c r="I79" s="153"/>
    </row>
    <row r="80" spans="1:9" s="3" customFormat="1" ht="13.8" x14ac:dyDescent="0.3">
      <c r="A80" s="191" t="s">
        <v>164</v>
      </c>
      <c r="B80" s="244">
        <f>E20+E26*0.8+E29*0.9+E35+E49</f>
        <v>569.86500000000001</v>
      </c>
      <c r="C80" s="197" t="s">
        <v>318</v>
      </c>
      <c r="D80" s="28"/>
      <c r="E80" s="30"/>
      <c r="G80" s="191" t="s">
        <v>164</v>
      </c>
      <c r="H80" s="139">
        <f>B80+'Soja 2da. C'!B81</f>
        <v>870.86500000000001</v>
      </c>
      <c r="I80" s="153" t="s">
        <v>318</v>
      </c>
    </row>
    <row r="81" spans="1:9" s="3" customFormat="1" thickBot="1" x14ac:dyDescent="0.35">
      <c r="A81" s="192" t="s">
        <v>327</v>
      </c>
      <c r="B81" s="274">
        <f>B77/B80</f>
        <v>0.68885262298965544</v>
      </c>
      <c r="C81" s="199"/>
      <c r="D81" s="28"/>
      <c r="E81" s="30"/>
      <c r="G81" s="192" t="s">
        <v>327</v>
      </c>
      <c r="H81" s="155">
        <f>H77/H80</f>
        <v>0.53506074185183139</v>
      </c>
      <c r="I81" s="154"/>
    </row>
    <row r="82" spans="1:9" s="3" customFormat="1" ht="13.8" x14ac:dyDescent="0.3">
      <c r="A82" s="151"/>
      <c r="B82" s="149"/>
      <c r="C82" s="150"/>
      <c r="D82" s="28"/>
      <c r="E82" s="30"/>
      <c r="H82" s="94"/>
    </row>
    <row r="83" spans="1:9" s="3" customFormat="1" ht="13.8" x14ac:dyDescent="0.3">
      <c r="A83" s="737" t="s">
        <v>342</v>
      </c>
      <c r="B83" s="737"/>
      <c r="C83" s="34">
        <f>E70</f>
        <v>832.447</v>
      </c>
      <c r="D83" s="76"/>
      <c r="E83" s="76"/>
      <c r="F83" s="76"/>
      <c r="G83" s="76"/>
      <c r="H83" s="76"/>
      <c r="I83" s="76"/>
    </row>
    <row r="84" spans="1:9" s="3" customFormat="1" ht="13.8" x14ac:dyDescent="0.3">
      <c r="A84" s="16"/>
      <c r="B84" s="16"/>
      <c r="C84" s="34"/>
      <c r="D84" s="76"/>
      <c r="E84" s="76"/>
      <c r="F84" s="76"/>
      <c r="G84" s="76"/>
      <c r="H84" s="76"/>
      <c r="I84" s="76"/>
    </row>
    <row r="85" spans="1:9" s="3" customFormat="1" ht="13.8" x14ac:dyDescent="0.3">
      <c r="A85" s="752" t="s">
        <v>325</v>
      </c>
      <c r="B85" s="740"/>
      <c r="C85" s="740"/>
      <c r="D85" s="740"/>
      <c r="E85" s="740"/>
      <c r="F85" s="740"/>
      <c r="G85" s="740"/>
      <c r="H85" s="753"/>
      <c r="I85" s="76"/>
    </row>
    <row r="86" spans="1:9" s="3" customFormat="1" ht="13.8" x14ac:dyDescent="0.3">
      <c r="A86" s="83" t="s">
        <v>332</v>
      </c>
      <c r="B86" s="84">
        <f>E86-1.5</f>
        <v>3.5</v>
      </c>
      <c r="C86" s="84">
        <f>E86-1</f>
        <v>4</v>
      </c>
      <c r="D86" s="84">
        <f>E86-0.5</f>
        <v>4.5</v>
      </c>
      <c r="E86" s="80">
        <f>B73</f>
        <v>5</v>
      </c>
      <c r="F86" s="84">
        <f>E86+0.5</f>
        <v>5.5</v>
      </c>
      <c r="G86" s="84">
        <f>E86+0.8</f>
        <v>5.8</v>
      </c>
      <c r="H86" s="85">
        <f>E86+1.2</f>
        <v>6.2</v>
      </c>
    </row>
    <row r="87" spans="1:9" s="3" customFormat="1" ht="13.8" x14ac:dyDescent="0.3">
      <c r="A87" s="47">
        <f>A88-10</f>
        <v>215</v>
      </c>
      <c r="B87" s="48">
        <f>B96/C83*100</f>
        <v>-9.6038546598161822</v>
      </c>
      <c r="C87" s="48">
        <f>C96/C83*100</f>
        <v>3.3098803887815076</v>
      </c>
      <c r="D87" s="48">
        <f>D96/C83*100</f>
        <v>16.223615437379195</v>
      </c>
      <c r="E87" s="49">
        <f>E96/C83*100</f>
        <v>29.137350485976889</v>
      </c>
      <c r="F87" s="48">
        <f>F96/C83*100</f>
        <v>42.051085534574575</v>
      </c>
      <c r="G87" s="48">
        <f>G96/C83*100</f>
        <v>49.799326563733189</v>
      </c>
      <c r="H87" s="50">
        <f>H96/C83*100</f>
        <v>60.130314602611335</v>
      </c>
    </row>
    <row r="88" spans="1:9" s="3" customFormat="1" ht="13.8" x14ac:dyDescent="0.3">
      <c r="A88" s="47">
        <f>A89-10</f>
        <v>225</v>
      </c>
      <c r="B88" s="48">
        <f>B97/C83*100</f>
        <v>-5.3993827835285613</v>
      </c>
      <c r="C88" s="48">
        <f>C97/C83*100</f>
        <v>8.1149911045387864</v>
      </c>
      <c r="D88" s="48">
        <f>D97/C83*100</f>
        <v>21.629364992606135</v>
      </c>
      <c r="E88" s="49">
        <f>E97/C83*100</f>
        <v>35.143738880673489</v>
      </c>
      <c r="F88" s="48">
        <f>F97/C83*100</f>
        <v>48.658112768740828</v>
      </c>
      <c r="G88" s="48">
        <f>G97/C83*100</f>
        <v>56.766737101581242</v>
      </c>
      <c r="H88" s="50">
        <f>H97/C83*100</f>
        <v>67.578236212035122</v>
      </c>
    </row>
    <row r="89" spans="1:9" s="3" customFormat="1" ht="13.8" x14ac:dyDescent="0.3">
      <c r="A89" s="47">
        <f>A90-10</f>
        <v>235</v>
      </c>
      <c r="B89" s="48">
        <f>B98/C83*100</f>
        <v>-1.1949109072409418</v>
      </c>
      <c r="C89" s="48">
        <f>C98/C83*100</f>
        <v>12.920101820296068</v>
      </c>
      <c r="D89" s="48">
        <f>D98/C83*100</f>
        <v>27.035114547833071</v>
      </c>
      <c r="E89" s="49">
        <f>E98/C83*100</f>
        <v>41.150127275370082</v>
      </c>
      <c r="F89" s="48">
        <f>F98/C83*100</f>
        <v>55.265140002907089</v>
      </c>
      <c r="G89" s="48">
        <f>G98/C83*100</f>
        <v>63.734147639429295</v>
      </c>
      <c r="H89" s="50">
        <f>H98/C83*100</f>
        <v>75.026157821458909</v>
      </c>
    </row>
    <row r="90" spans="1:9" s="3" customFormat="1" ht="13.8" x14ac:dyDescent="0.3">
      <c r="A90" s="51">
        <f>B74</f>
        <v>245</v>
      </c>
      <c r="B90" s="52">
        <f>B99/C83*100</f>
        <v>3.0095609690466776</v>
      </c>
      <c r="C90" s="53">
        <f>C99/C83*100</f>
        <v>17.725212536053345</v>
      </c>
      <c r="D90" s="53">
        <f>D99/C83*100</f>
        <v>32.440864103060015</v>
      </c>
      <c r="E90" s="54">
        <f>E99/C83*100</f>
        <v>47.156515670066682</v>
      </c>
      <c r="F90" s="53">
        <f>F99/C83*100</f>
        <v>61.872167237073349</v>
      </c>
      <c r="G90" s="53">
        <f>G99/C83*100</f>
        <v>70.701558177277363</v>
      </c>
      <c r="H90" s="55">
        <f>H99/C83*100</f>
        <v>82.474079430882682</v>
      </c>
    </row>
    <row r="91" spans="1:9" s="3" customFormat="1" ht="13.8" x14ac:dyDescent="0.3">
      <c r="A91" s="47">
        <f>A90+10</f>
        <v>255</v>
      </c>
      <c r="B91" s="56">
        <f>B100/C83*100</f>
        <v>7.2140328453342981</v>
      </c>
      <c r="C91" s="56">
        <f>C100/C83*100</f>
        <v>22.530323251810625</v>
      </c>
      <c r="D91" s="56">
        <f>D100/C83*100</f>
        <v>37.846613658286955</v>
      </c>
      <c r="E91" s="57">
        <f>E100/C83*100</f>
        <v>53.162904064763282</v>
      </c>
      <c r="F91" s="56">
        <f>F100/C83*100</f>
        <v>68.479194471239609</v>
      </c>
      <c r="G91" s="56">
        <f>G100/C83*100</f>
        <v>77.668968715125402</v>
      </c>
      <c r="H91" s="58">
        <f>H100/C83*100</f>
        <v>89.922001040306469</v>
      </c>
    </row>
    <row r="92" spans="1:9" s="3" customFormat="1" ht="13.8" x14ac:dyDescent="0.3">
      <c r="A92" s="47">
        <f>A91+10</f>
        <v>265</v>
      </c>
      <c r="B92" s="56">
        <f>B101/C83*100</f>
        <v>11.418504721621916</v>
      </c>
      <c r="C92" s="56">
        <f>C101/C83*100</f>
        <v>27.335433967567909</v>
      </c>
      <c r="D92" s="56">
        <f>D101/C83*100</f>
        <v>43.252363213513895</v>
      </c>
      <c r="E92" s="57">
        <f>E101/C83*100</f>
        <v>59.169292459459875</v>
      </c>
      <c r="F92" s="56">
        <f>F101/C83*100</f>
        <v>75.086221705405862</v>
      </c>
      <c r="G92" s="56">
        <f>G101/C83*100</f>
        <v>84.636379252973455</v>
      </c>
      <c r="H92" s="58">
        <f>H101/C83*100</f>
        <v>97.369922649730256</v>
      </c>
    </row>
    <row r="93" spans="1:9" s="3" customFormat="1" ht="13.8" x14ac:dyDescent="0.3">
      <c r="A93" s="47">
        <f>A92+10</f>
        <v>275</v>
      </c>
      <c r="B93" s="56">
        <f>B102/C83*100</f>
        <v>15.622976597909535</v>
      </c>
      <c r="C93" s="56">
        <f>C102/C83*100</f>
        <v>32.140544683325182</v>
      </c>
      <c r="D93" s="56">
        <f>D102/C83*100</f>
        <v>48.658112768740828</v>
      </c>
      <c r="E93" s="57">
        <f>E102/C83*100</f>
        <v>65.175680854156482</v>
      </c>
      <c r="F93" s="56">
        <f>F102/C83*100</f>
        <v>81.693248939572129</v>
      </c>
      <c r="G93" s="56">
        <f>G102/C83*100</f>
        <v>91.603789790821523</v>
      </c>
      <c r="H93" s="58">
        <f>H102/C83*100</f>
        <v>104.81784425915404</v>
      </c>
    </row>
    <row r="94" spans="1:9" s="3" customFormat="1" ht="13.8" x14ac:dyDescent="0.3">
      <c r="A94" s="745" t="s">
        <v>343</v>
      </c>
      <c r="B94" s="746"/>
      <c r="C94" s="746"/>
      <c r="D94" s="746"/>
      <c r="E94" s="746"/>
      <c r="F94" s="746"/>
      <c r="G94" s="746"/>
      <c r="H94" s="747"/>
    </row>
    <row r="95" spans="1:9" s="3" customFormat="1" ht="13.8" x14ac:dyDescent="0.3">
      <c r="A95" s="43" t="s">
        <v>332</v>
      </c>
      <c r="B95" s="44">
        <f>E95-1.5</f>
        <v>3.5</v>
      </c>
      <c r="C95" s="44">
        <f>E95-1</f>
        <v>4</v>
      </c>
      <c r="D95" s="44">
        <f>E95-0.5</f>
        <v>4.5</v>
      </c>
      <c r="E95" s="45">
        <f>B73</f>
        <v>5</v>
      </c>
      <c r="F95" s="44">
        <f>E95+0.5</f>
        <v>5.5</v>
      </c>
      <c r="G95" s="44">
        <f>E95+0.8</f>
        <v>5.8</v>
      </c>
      <c r="H95" s="46">
        <f>E95+1.2</f>
        <v>6.2</v>
      </c>
    </row>
    <row r="96" spans="1:9" s="3" customFormat="1" ht="13.8" x14ac:dyDescent="0.3">
      <c r="A96" s="47">
        <f>A97-10</f>
        <v>215</v>
      </c>
      <c r="B96" s="48">
        <f>(B95*A96)-C83</f>
        <v>-79.947000000000003</v>
      </c>
      <c r="C96" s="48">
        <f>(C95*A96)-C83</f>
        <v>27.552999999999997</v>
      </c>
      <c r="D96" s="48">
        <f>(D95*A96)-C83</f>
        <v>135.053</v>
      </c>
      <c r="E96" s="49">
        <f>(E95*A96)-C83</f>
        <v>242.553</v>
      </c>
      <c r="F96" s="48">
        <f>(F95*A96)-C83</f>
        <v>350.053</v>
      </c>
      <c r="G96" s="48">
        <f>(G95*A96)-C83</f>
        <v>414.553</v>
      </c>
      <c r="H96" s="50">
        <f>(H95*A96)-C83</f>
        <v>500.553</v>
      </c>
    </row>
    <row r="97" spans="1:8" s="3" customFormat="1" ht="13.8" x14ac:dyDescent="0.3">
      <c r="A97" s="47">
        <f>A98-10</f>
        <v>225</v>
      </c>
      <c r="B97" s="48">
        <f>(B95*A97)-C83</f>
        <v>-44.947000000000003</v>
      </c>
      <c r="C97" s="48">
        <f>(C95*A97)-C83</f>
        <v>67.552999999999997</v>
      </c>
      <c r="D97" s="48">
        <f>(D95*A97)-C83</f>
        <v>180.053</v>
      </c>
      <c r="E97" s="49">
        <f>(E95*A97)-C83</f>
        <v>292.553</v>
      </c>
      <c r="F97" s="48">
        <f>(F95*A97)-C83</f>
        <v>405.053</v>
      </c>
      <c r="G97" s="48">
        <f>(G95*A97)-C83</f>
        <v>472.553</v>
      </c>
      <c r="H97" s="50">
        <f>(H95*A97)-C83</f>
        <v>562.553</v>
      </c>
    </row>
    <row r="98" spans="1:8" s="3" customFormat="1" ht="13.8" x14ac:dyDescent="0.3">
      <c r="A98" s="47">
        <f>A99-10</f>
        <v>235</v>
      </c>
      <c r="B98" s="48">
        <f>(A98*B95)-C83</f>
        <v>-9.9470000000000027</v>
      </c>
      <c r="C98" s="48">
        <f>(C95*A98)-C83</f>
        <v>107.553</v>
      </c>
      <c r="D98" s="48">
        <f>(D95*A98)-C83</f>
        <v>225.053</v>
      </c>
      <c r="E98" s="49">
        <f>(E95*A98)-C83</f>
        <v>342.553</v>
      </c>
      <c r="F98" s="48">
        <f>(F95*A98)-C83</f>
        <v>460.053</v>
      </c>
      <c r="G98" s="48">
        <f>(G95*A98)-C83</f>
        <v>530.553</v>
      </c>
      <c r="H98" s="50">
        <f>(H95*A98)-C83</f>
        <v>624.553</v>
      </c>
    </row>
    <row r="99" spans="1:8" s="3" customFormat="1" ht="13.8" x14ac:dyDescent="0.3">
      <c r="A99" s="51">
        <f>B74</f>
        <v>245</v>
      </c>
      <c r="B99" s="53">
        <f>(A99*B95)-C83</f>
        <v>25.052999999999997</v>
      </c>
      <c r="C99" s="53">
        <f>(A99*C95)-C83</f>
        <v>147.553</v>
      </c>
      <c r="D99" s="53">
        <f>(D95*A99)-C83</f>
        <v>270.053</v>
      </c>
      <c r="E99" s="54">
        <f>(A99*E95)-C83</f>
        <v>392.553</v>
      </c>
      <c r="F99" s="53">
        <f>(A99*F95)-C83</f>
        <v>515.053</v>
      </c>
      <c r="G99" s="53">
        <f>(G95*A99)-C83</f>
        <v>588.553</v>
      </c>
      <c r="H99" s="55">
        <f>(H95*A99)-C83</f>
        <v>686.553</v>
      </c>
    </row>
    <row r="100" spans="1:8" s="3" customFormat="1" ht="13.8" x14ac:dyDescent="0.3">
      <c r="A100" s="47">
        <f>A99+10</f>
        <v>255</v>
      </c>
      <c r="B100" s="56">
        <f>(A100*B95)-C83</f>
        <v>60.052999999999997</v>
      </c>
      <c r="C100" s="56">
        <f>(C95*A100)-C83</f>
        <v>187.553</v>
      </c>
      <c r="D100" s="56">
        <f>(D95*A100)-C83</f>
        <v>315.053</v>
      </c>
      <c r="E100" s="57">
        <f>(E95*A100)-C83</f>
        <v>442.553</v>
      </c>
      <c r="F100" s="56">
        <f>(F95*A100)-C83</f>
        <v>570.053</v>
      </c>
      <c r="G100" s="56">
        <f>(G95*A100)-C83</f>
        <v>646.553</v>
      </c>
      <c r="H100" s="58">
        <f>(H95*A100)-C83</f>
        <v>748.553</v>
      </c>
    </row>
    <row r="101" spans="1:8" s="3" customFormat="1" ht="13.8" x14ac:dyDescent="0.3">
      <c r="A101" s="47">
        <f>A100+10</f>
        <v>265</v>
      </c>
      <c r="B101" s="56">
        <f>(A101*B95)-C83</f>
        <v>95.052999999999997</v>
      </c>
      <c r="C101" s="56">
        <f>(C95*A101)-C83</f>
        <v>227.553</v>
      </c>
      <c r="D101" s="56">
        <f>(D95*A101)-C83</f>
        <v>360.053</v>
      </c>
      <c r="E101" s="57">
        <f>(E95*A101)-C83</f>
        <v>492.553</v>
      </c>
      <c r="F101" s="56">
        <f>(F95*A101)-C83</f>
        <v>625.053</v>
      </c>
      <c r="G101" s="56">
        <f>(G95*A101)-C83</f>
        <v>704.553</v>
      </c>
      <c r="H101" s="58">
        <f>(H95*A101)-C83</f>
        <v>810.553</v>
      </c>
    </row>
    <row r="102" spans="1:8" s="3" customFormat="1" ht="13.8" x14ac:dyDescent="0.3">
      <c r="A102" s="59">
        <f>A101+10</f>
        <v>275</v>
      </c>
      <c r="B102" s="60">
        <f>(B95*A102)-C83</f>
        <v>130.053</v>
      </c>
      <c r="C102" s="60">
        <f>(C95*A102)-C83</f>
        <v>267.553</v>
      </c>
      <c r="D102" s="60">
        <f>(D95*A102)-C83</f>
        <v>405.053</v>
      </c>
      <c r="E102" s="61">
        <f>(E95*A102)-C83</f>
        <v>542.553</v>
      </c>
      <c r="F102" s="60">
        <f>(F95*A102)-C83</f>
        <v>680.053</v>
      </c>
      <c r="G102" s="60">
        <f>(G95*A102)-C83</f>
        <v>762.553</v>
      </c>
      <c r="H102" s="62">
        <f>(A102*H95)-C83</f>
        <v>872.553</v>
      </c>
    </row>
  </sheetData>
  <mergeCells count="19">
    <mergeCell ref="C35:D35"/>
    <mergeCell ref="A1:H1"/>
    <mergeCell ref="C20:D20"/>
    <mergeCell ref="C23:D23"/>
    <mergeCell ref="C26:D26"/>
    <mergeCell ref="C29:D29"/>
    <mergeCell ref="A94:H94"/>
    <mergeCell ref="A72:C72"/>
    <mergeCell ref="C49:D49"/>
    <mergeCell ref="C52:D52"/>
    <mergeCell ref="C62:D62"/>
    <mergeCell ref="C65:D65"/>
    <mergeCell ref="C68:D68"/>
    <mergeCell ref="C70:D70"/>
    <mergeCell ref="G72:I72"/>
    <mergeCell ref="D73:F73"/>
    <mergeCell ref="G73:I74"/>
    <mergeCell ref="A83:B83"/>
    <mergeCell ref="A85:H85"/>
  </mergeCells>
  <pageMargins left="0.78749999999999998" right="0.78749999999999998" top="1.0249999999999999" bottom="1.0249999999999999" header="0.78749999999999998" footer="0.78749999999999998"/>
  <pageSetup paperSize="9" scale="55" firstPageNumber="0" orientation="portrait" horizontalDpi="300" verticalDpi="300" r:id="rId1"/>
  <headerFooter alignWithMargins="0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2"/>
  <sheetViews>
    <sheetView showGridLines="0" zoomScale="95" zoomScaleNormal="95" workbookViewId="0">
      <selection activeCell="C78" sqref="C78"/>
    </sheetView>
  </sheetViews>
  <sheetFormatPr baseColWidth="10" defaultColWidth="10.6640625" defaultRowHeight="14.4" x14ac:dyDescent="0.3"/>
  <cols>
    <col min="1" max="1" width="31" style="1" customWidth="1"/>
    <col min="2" max="2" width="10.44140625" style="1" customWidth="1"/>
    <col min="3" max="3" width="11" style="1" customWidth="1"/>
    <col min="4" max="4" width="12.6640625" style="2" bestFit="1" customWidth="1"/>
    <col min="5" max="5" width="11.33203125" style="1" customWidth="1"/>
    <col min="6" max="6" width="22.88671875" style="1" bestFit="1" customWidth="1"/>
    <col min="7" max="7" width="13.5546875" style="1" bestFit="1" customWidth="1"/>
    <col min="8" max="8" width="27.44140625" style="1" bestFit="1" customWidth="1"/>
    <col min="9" max="9" width="11.5546875" style="1" customWidth="1"/>
    <col min="10" max="16384" width="10.6640625" style="1"/>
  </cols>
  <sheetData>
    <row r="1" spans="1:10" s="3" customFormat="1" ht="21.6" thickBot="1" x14ac:dyDescent="0.45">
      <c r="A1" s="664" t="s">
        <v>344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f>+'Cebada SP'!B3</f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4.4" customHeight="1" x14ac:dyDescent="0.3">
      <c r="A5" s="207"/>
      <c r="B5" s="8"/>
      <c r="C5" s="7"/>
      <c r="D5" s="4" t="s">
        <v>245</v>
      </c>
      <c r="E5" s="9"/>
      <c r="G5" s="9"/>
      <c r="J5" s="3" t="s">
        <v>244</v>
      </c>
    </row>
    <row r="6" spans="1:10" s="3" customFormat="1" ht="14.4" customHeight="1" x14ac:dyDescent="0.3">
      <c r="A6" s="208" t="s">
        <v>204</v>
      </c>
      <c r="B6" s="11"/>
      <c r="C6" s="12"/>
      <c r="D6" s="13"/>
      <c r="E6" s="14"/>
      <c r="F6" s="15"/>
    </row>
    <row r="7" spans="1:10" s="3" customFormat="1" ht="14.4" customHeight="1" x14ac:dyDescent="0.3">
      <c r="A7" s="209" t="s">
        <v>246</v>
      </c>
      <c r="B7" s="169">
        <v>0</v>
      </c>
      <c r="C7" s="18" t="s">
        <v>247</v>
      </c>
      <c r="D7" s="588">
        <f>Cotizaciones!F8</f>
        <v>0</v>
      </c>
      <c r="E7" s="160">
        <f t="shared" ref="E7:E16" si="0">B7*D7</f>
        <v>0</v>
      </c>
    </row>
    <row r="8" spans="1:10" s="3" customFormat="1" ht="14.4" customHeight="1" x14ac:dyDescent="0.3">
      <c r="A8" s="209" t="s">
        <v>250</v>
      </c>
      <c r="B8" s="169">
        <v>0</v>
      </c>
      <c r="C8" s="18" t="s">
        <v>247</v>
      </c>
      <c r="D8" s="588">
        <f>Cotizaciones!F18</f>
        <v>17</v>
      </c>
      <c r="E8" s="160">
        <f t="shared" si="0"/>
        <v>0</v>
      </c>
    </row>
    <row r="9" spans="1:10" s="3" customFormat="1" ht="13.8" x14ac:dyDescent="0.3">
      <c r="A9" s="209" t="s">
        <v>251</v>
      </c>
      <c r="B9" s="169">
        <v>0</v>
      </c>
      <c r="C9" s="18" t="s">
        <v>247</v>
      </c>
      <c r="D9" s="588">
        <v>6.5</v>
      </c>
      <c r="E9" s="160">
        <f t="shared" si="0"/>
        <v>0</v>
      </c>
    </row>
    <row r="10" spans="1:10" s="3" customFormat="1" ht="13.8" x14ac:dyDescent="0.3">
      <c r="A10" s="209" t="s">
        <v>345</v>
      </c>
      <c r="B10" s="169">
        <v>1</v>
      </c>
      <c r="C10" s="18" t="s">
        <v>247</v>
      </c>
      <c r="D10" s="564">
        <v>55</v>
      </c>
      <c r="E10" s="160">
        <f t="shared" si="0"/>
        <v>55</v>
      </c>
      <c r="H10" s="93">
        <v>41245</v>
      </c>
      <c r="J10" s="3" t="s">
        <v>268</v>
      </c>
    </row>
    <row r="11" spans="1:10" s="3" customFormat="1" ht="13.8" x14ac:dyDescent="0.3">
      <c r="A11" s="209" t="s">
        <v>346</v>
      </c>
      <c r="B11" s="169">
        <v>1</v>
      </c>
      <c r="C11" s="18" t="s">
        <v>247</v>
      </c>
      <c r="D11" s="564">
        <v>6.5</v>
      </c>
      <c r="E11" s="160">
        <f t="shared" si="0"/>
        <v>6.5</v>
      </c>
      <c r="H11" s="93">
        <v>40909</v>
      </c>
      <c r="I11" s="93">
        <v>40940</v>
      </c>
      <c r="J11" s="3" t="s">
        <v>268</v>
      </c>
    </row>
    <row r="12" spans="1:10" s="3" customFormat="1" ht="13.8" x14ac:dyDescent="0.3">
      <c r="A12" s="209" t="s">
        <v>346</v>
      </c>
      <c r="B12" s="169">
        <v>1</v>
      </c>
      <c r="C12" s="18" t="s">
        <v>247</v>
      </c>
      <c r="D12" s="588">
        <v>6.5</v>
      </c>
      <c r="E12" s="160">
        <f t="shared" si="0"/>
        <v>6.5</v>
      </c>
      <c r="H12" s="93"/>
      <c r="I12" s="93"/>
      <c r="J12" s="3" t="s">
        <v>347</v>
      </c>
    </row>
    <row r="13" spans="1:10" s="3" customFormat="1" ht="13.8" x14ac:dyDescent="0.3">
      <c r="A13" s="209" t="s">
        <v>348</v>
      </c>
      <c r="B13" s="169">
        <v>1</v>
      </c>
      <c r="C13" s="18" t="s">
        <v>247</v>
      </c>
      <c r="D13" s="588">
        <v>6.5</v>
      </c>
      <c r="E13" s="160">
        <f t="shared" si="0"/>
        <v>6.5</v>
      </c>
      <c r="H13" s="93">
        <v>40941</v>
      </c>
      <c r="J13" s="3" t="s">
        <v>347</v>
      </c>
    </row>
    <row r="14" spans="1:10" s="3" customFormat="1" ht="13.8" x14ac:dyDescent="0.3">
      <c r="A14" s="209" t="s">
        <v>262</v>
      </c>
      <c r="B14" s="169">
        <v>0</v>
      </c>
      <c r="C14" s="18" t="s">
        <v>247</v>
      </c>
      <c r="D14" s="588">
        <v>0</v>
      </c>
      <c r="E14" s="160">
        <f t="shared" si="0"/>
        <v>0</v>
      </c>
    </row>
    <row r="15" spans="1:10" s="3" customFormat="1" ht="13.8" x14ac:dyDescent="0.3">
      <c r="A15" s="209" t="s">
        <v>263</v>
      </c>
      <c r="B15" s="169">
        <v>0</v>
      </c>
      <c r="C15" s="18" t="s">
        <v>247</v>
      </c>
      <c r="D15" s="588">
        <f>Cotizaciones!F5</f>
        <v>0</v>
      </c>
      <c r="E15" s="160">
        <f t="shared" si="0"/>
        <v>0</v>
      </c>
    </row>
    <row r="16" spans="1:10" s="3" customFormat="1" ht="13.8" x14ac:dyDescent="0.3">
      <c r="A16" s="209" t="s">
        <v>264</v>
      </c>
      <c r="B16" s="169">
        <v>0</v>
      </c>
      <c r="C16" s="18" t="s">
        <v>247</v>
      </c>
      <c r="D16" s="588">
        <f>Cotizaciones!F13</f>
        <v>0</v>
      </c>
      <c r="E16" s="160">
        <f t="shared" si="0"/>
        <v>0</v>
      </c>
    </row>
    <row r="17" spans="1:10" s="3" customFormat="1" ht="13.8" x14ac:dyDescent="0.3">
      <c r="A17" s="16" t="s">
        <v>32</v>
      </c>
      <c r="B17" s="169">
        <v>0</v>
      </c>
      <c r="C17" s="18" t="s">
        <v>247</v>
      </c>
      <c r="D17" s="588">
        <v>0</v>
      </c>
      <c r="E17" s="160">
        <f>(B20*D17)/1000</f>
        <v>0</v>
      </c>
      <c r="H17" s="93">
        <v>41244</v>
      </c>
      <c r="J17" s="3" t="s">
        <v>268</v>
      </c>
    </row>
    <row r="18" spans="1:10" s="3" customFormat="1" ht="15" customHeight="1" x14ac:dyDescent="0.3">
      <c r="A18" s="210"/>
      <c r="B18" s="20"/>
      <c r="C18" s="667" t="s">
        <v>265</v>
      </c>
      <c r="D18" s="667"/>
      <c r="E18" s="141">
        <f>SUM(E7:E17)</f>
        <v>74.5</v>
      </c>
      <c r="F18" s="159">
        <f>E18/E57</f>
        <v>0.18671679197994986</v>
      </c>
      <c r="G18" s="141">
        <f>E18*B3</f>
        <v>0</v>
      </c>
    </row>
    <row r="19" spans="1:10" s="3" customFormat="1" ht="13.8" x14ac:dyDescent="0.3">
      <c r="A19" s="208" t="s">
        <v>205</v>
      </c>
      <c r="B19" s="23"/>
      <c r="C19" s="12"/>
      <c r="D19" s="24"/>
      <c r="E19" s="25"/>
      <c r="F19" s="15"/>
      <c r="G19" s="94"/>
    </row>
    <row r="20" spans="1:10" s="3" customFormat="1" ht="13.8" x14ac:dyDescent="0.3">
      <c r="A20" s="212" t="s">
        <v>349</v>
      </c>
      <c r="B20" s="169">
        <v>90</v>
      </c>
      <c r="C20" s="18" t="s">
        <v>350</v>
      </c>
      <c r="D20" s="161">
        <f>+Cotizaciones!E45/40</f>
        <v>0.875</v>
      </c>
      <c r="E20" s="162">
        <f>B20*D20</f>
        <v>78.75</v>
      </c>
      <c r="G20" s="94"/>
    </row>
    <row r="21" spans="1:10" s="3" customFormat="1" ht="13.8" x14ac:dyDescent="0.3">
      <c r="A21" s="3" t="s">
        <v>269</v>
      </c>
      <c r="D21" s="161">
        <f>+'Cebada SP'!D35</f>
        <v>35</v>
      </c>
      <c r="E21" s="162">
        <f>+D21*B20/1000</f>
        <v>3.15</v>
      </c>
      <c r="H21" s="93">
        <v>41215</v>
      </c>
      <c r="J21" s="3" t="s">
        <v>268</v>
      </c>
    </row>
    <row r="22" spans="1:10" s="3" customFormat="1" ht="13.8" x14ac:dyDescent="0.3">
      <c r="A22" s="212"/>
      <c r="B22" s="30"/>
      <c r="C22" s="667" t="s">
        <v>270</v>
      </c>
      <c r="D22" s="667"/>
      <c r="E22" s="141">
        <f>SUM(E20:E21)</f>
        <v>81.900000000000006</v>
      </c>
      <c r="F22" s="159">
        <f>E22/E57</f>
        <v>0.20526315789473687</v>
      </c>
      <c r="G22" s="141">
        <f>E22*B3</f>
        <v>0</v>
      </c>
    </row>
    <row r="23" spans="1:10" s="3" customFormat="1" ht="13.8" x14ac:dyDescent="0.3">
      <c r="A23" s="212"/>
      <c r="B23" s="27"/>
      <c r="C23" s="18"/>
      <c r="D23" s="28"/>
      <c r="E23" s="29"/>
    </row>
    <row r="24" spans="1:10" s="3" customFormat="1" ht="13.8" x14ac:dyDescent="0.3">
      <c r="A24" s="208" t="s">
        <v>206</v>
      </c>
      <c r="B24" s="11">
        <v>0.2</v>
      </c>
      <c r="C24" s="12" t="s">
        <v>247</v>
      </c>
      <c r="D24" s="13">
        <f>+'Resumen Proy'!C57</f>
        <v>426</v>
      </c>
      <c r="E24" s="172">
        <f>B24*D24</f>
        <v>85.2</v>
      </c>
      <c r="F24" s="15"/>
    </row>
    <row r="25" spans="1:10" s="3" customFormat="1" ht="13.8" x14ac:dyDescent="0.3">
      <c r="A25" s="212"/>
      <c r="B25" s="27"/>
      <c r="C25" s="754" t="s">
        <v>271</v>
      </c>
      <c r="D25" s="754"/>
      <c r="E25" s="176">
        <f>E24</f>
        <v>85.2</v>
      </c>
      <c r="F25" s="22">
        <f>E25/E57</f>
        <v>0.21353383458646616</v>
      </c>
    </row>
    <row r="26" spans="1:10" s="3" customFormat="1" ht="13.8" x14ac:dyDescent="0.3">
      <c r="A26" s="212"/>
      <c r="B26" s="27"/>
      <c r="C26" s="18"/>
      <c r="D26" s="28"/>
      <c r="E26" s="29"/>
    </row>
    <row r="27" spans="1:10" s="3" customFormat="1" ht="13.8" x14ac:dyDescent="0.3">
      <c r="A27" s="208" t="s">
        <v>207</v>
      </c>
      <c r="B27" s="281">
        <v>10</v>
      </c>
      <c r="C27" s="12" t="s">
        <v>272</v>
      </c>
      <c r="D27" s="173">
        <f>B27</f>
        <v>10</v>
      </c>
      <c r="E27" s="174">
        <f>D27</f>
        <v>10</v>
      </c>
      <c r="F27" s="15"/>
    </row>
    <row r="28" spans="1:10" s="3" customFormat="1" ht="13.8" x14ac:dyDescent="0.3">
      <c r="A28" s="212"/>
      <c r="B28" s="27"/>
      <c r="C28" s="754" t="s">
        <v>273</v>
      </c>
      <c r="D28" s="754"/>
      <c r="E28" s="141">
        <f>E27</f>
        <v>10</v>
      </c>
      <c r="F28" s="22"/>
    </row>
    <row r="29" spans="1:10" s="3" customFormat="1" ht="13.8" x14ac:dyDescent="0.3">
      <c r="A29" s="212"/>
      <c r="B29" s="27"/>
      <c r="C29" s="7"/>
      <c r="D29" s="7"/>
      <c r="E29" s="33"/>
    </row>
    <row r="30" spans="1:10" s="3" customFormat="1" ht="13.8" x14ac:dyDescent="0.3">
      <c r="A30" s="208" t="s">
        <v>140</v>
      </c>
      <c r="B30" s="23"/>
      <c r="C30" s="12"/>
      <c r="D30" s="24"/>
      <c r="E30" s="25"/>
      <c r="F30" s="15"/>
    </row>
    <row r="31" spans="1:10" s="3" customFormat="1" ht="13.8" x14ac:dyDescent="0.3">
      <c r="A31" s="212" t="s">
        <v>351</v>
      </c>
      <c r="B31" s="170">
        <v>0</v>
      </c>
      <c r="C31" s="18" t="s">
        <v>275</v>
      </c>
      <c r="D31" s="179">
        <v>0</v>
      </c>
      <c r="E31" s="146">
        <f>B31*D31</f>
        <v>0</v>
      </c>
    </row>
    <row r="32" spans="1:10" s="3" customFormat="1" ht="13.8" x14ac:dyDescent="0.3">
      <c r="A32" s="212" t="s">
        <v>20</v>
      </c>
      <c r="B32" s="170">
        <v>0</v>
      </c>
      <c r="C32" s="18" t="s">
        <v>275</v>
      </c>
      <c r="D32" s="179">
        <v>0</v>
      </c>
      <c r="E32" s="146">
        <f>B32*D32</f>
        <v>0</v>
      </c>
    </row>
    <row r="33" spans="1:10" s="3" customFormat="1" ht="13.8" x14ac:dyDescent="0.3">
      <c r="A33" s="3" t="s">
        <v>269</v>
      </c>
    </row>
    <row r="34" spans="1:10" s="3" customFormat="1" ht="13.8" x14ac:dyDescent="0.3">
      <c r="A34" s="212"/>
      <c r="B34" s="30"/>
      <c r="C34" s="667" t="s">
        <v>280</v>
      </c>
      <c r="D34" s="667"/>
      <c r="E34" s="176">
        <f>SUM(E31:E32)</f>
        <v>0</v>
      </c>
      <c r="F34" s="22"/>
      <c r="G34" s="141">
        <f>E34*B3</f>
        <v>0</v>
      </c>
    </row>
    <row r="35" spans="1:10" s="3" customFormat="1" ht="13.8" x14ac:dyDescent="0.3">
      <c r="A35" s="208" t="s">
        <v>118</v>
      </c>
      <c r="B35" s="23"/>
      <c r="C35" s="12"/>
      <c r="D35" s="24"/>
      <c r="E35" s="25"/>
      <c r="F35" s="15"/>
    </row>
    <row r="36" spans="1:10" s="3" customFormat="1" ht="13.8" x14ac:dyDescent="0.3">
      <c r="A36" s="212" t="s">
        <v>145</v>
      </c>
      <c r="B36" s="169">
        <v>1</v>
      </c>
      <c r="C36" s="18" t="s">
        <v>283</v>
      </c>
      <c r="D36" s="146">
        <f>Cotizaciones!I6</f>
        <v>3</v>
      </c>
      <c r="E36" s="146">
        <f>B36*D36</f>
        <v>3</v>
      </c>
      <c r="H36" s="3" t="str">
        <f>A13</f>
        <v>Aplicación terrestre Insecticida</v>
      </c>
      <c r="J36" s="3" t="s">
        <v>352</v>
      </c>
    </row>
    <row r="37" spans="1:10" s="3" customFormat="1" ht="13.8" x14ac:dyDescent="0.3">
      <c r="A37" s="107" t="s">
        <v>504</v>
      </c>
      <c r="B37" s="171">
        <v>0</v>
      </c>
      <c r="C37" s="18" t="s">
        <v>283</v>
      </c>
      <c r="D37" s="146">
        <f>+Cotizaciones!I51</f>
        <v>7.2</v>
      </c>
      <c r="E37" s="146">
        <f>B37*D37</f>
        <v>0</v>
      </c>
      <c r="H37" s="3" t="str">
        <f>A11</f>
        <v>Pulverizacion Herbicida</v>
      </c>
      <c r="J37" s="3" t="s">
        <v>352</v>
      </c>
    </row>
    <row r="38" spans="1:10" s="3" customFormat="1" ht="13.8" x14ac:dyDescent="0.3">
      <c r="A38" s="212" t="s">
        <v>501</v>
      </c>
      <c r="B38" s="171">
        <v>0.3</v>
      </c>
      <c r="C38" s="18" t="s">
        <v>283</v>
      </c>
      <c r="D38" s="146">
        <f>+Cotizaciones!I52</f>
        <v>19</v>
      </c>
      <c r="E38" s="146">
        <f>B38*D38</f>
        <v>5.7</v>
      </c>
      <c r="H38" s="3" t="str">
        <f>H37</f>
        <v>Pulverizacion Herbicida</v>
      </c>
      <c r="J38" s="3" t="s">
        <v>352</v>
      </c>
    </row>
    <row r="39" spans="1:10" s="3" customFormat="1" ht="13.8" x14ac:dyDescent="0.3">
      <c r="A39" s="212" t="s">
        <v>353</v>
      </c>
      <c r="B39" s="171">
        <f>B20/3000</f>
        <v>0.03</v>
      </c>
      <c r="C39" s="18" t="s">
        <v>354</v>
      </c>
      <c r="D39" s="146">
        <f>Cotizaciones!I29</f>
        <v>250</v>
      </c>
      <c r="E39" s="146">
        <f>(D39*B39)</f>
        <v>7.5</v>
      </c>
      <c r="H39" s="3" t="str">
        <f>A10</f>
        <v>Siembra Directa</v>
      </c>
      <c r="J39" s="3" t="s">
        <v>268</v>
      </c>
    </row>
    <row r="40" spans="1:10" s="3" customFormat="1" ht="13.8" x14ac:dyDescent="0.3">
      <c r="A40" s="212" t="s">
        <v>68</v>
      </c>
      <c r="B40" s="171">
        <v>4</v>
      </c>
      <c r="C40" s="18" t="s">
        <v>283</v>
      </c>
      <c r="D40" s="145">
        <f>Cotizaciones!I28</f>
        <v>4.5</v>
      </c>
      <c r="E40" s="146">
        <f t="shared" ref="E40:E45" si="1">B40*D40</f>
        <v>18</v>
      </c>
      <c r="H40" s="3" t="str">
        <f>H37</f>
        <v>Pulverizacion Herbicida</v>
      </c>
      <c r="J40" s="3" t="s">
        <v>352</v>
      </c>
    </row>
    <row r="41" spans="1:10" s="3" customFormat="1" ht="13.8" x14ac:dyDescent="0.3">
      <c r="A41" s="212" t="s">
        <v>7</v>
      </c>
      <c r="B41" s="171">
        <v>2</v>
      </c>
      <c r="C41" s="18" t="s">
        <v>283</v>
      </c>
      <c r="D41" s="146">
        <f>Cotizaciones!I5</f>
        <v>4.5999999999999996</v>
      </c>
      <c r="E41" s="146">
        <f t="shared" si="1"/>
        <v>9.1999999999999993</v>
      </c>
    </row>
    <row r="42" spans="1:10" s="3" customFormat="1" ht="13.8" x14ac:dyDescent="0.3">
      <c r="A42" s="212" t="s">
        <v>48</v>
      </c>
      <c r="B42" s="171">
        <v>0</v>
      </c>
      <c r="C42" s="18" t="s">
        <v>283</v>
      </c>
      <c r="D42" s="146">
        <f>Cotizaciones!I18</f>
        <v>22.05</v>
      </c>
      <c r="E42" s="146">
        <f t="shared" si="1"/>
        <v>0</v>
      </c>
    </row>
    <row r="43" spans="1:10" s="3" customFormat="1" ht="13.8" x14ac:dyDescent="0.3">
      <c r="A43" s="212" t="s">
        <v>505</v>
      </c>
      <c r="B43" s="171">
        <v>0.05</v>
      </c>
      <c r="C43" s="18" t="s">
        <v>283</v>
      </c>
      <c r="D43" s="146">
        <f>Cotizaciones!I15</f>
        <v>20</v>
      </c>
      <c r="E43" s="146">
        <f t="shared" si="1"/>
        <v>1</v>
      </c>
      <c r="H43" s="3" t="str">
        <f>H36</f>
        <v>Aplicación terrestre Insecticida</v>
      </c>
      <c r="J43" s="3" t="s">
        <v>347</v>
      </c>
    </row>
    <row r="44" spans="1:10" s="3" customFormat="1" ht="13.8" x14ac:dyDescent="0.3">
      <c r="A44" s="212" t="s">
        <v>51</v>
      </c>
      <c r="B44" s="171">
        <v>0</v>
      </c>
      <c r="C44" s="18" t="s">
        <v>283</v>
      </c>
      <c r="D44" s="146">
        <f>Cotizaciones!I19</f>
        <v>7</v>
      </c>
      <c r="E44" s="146">
        <f t="shared" si="1"/>
        <v>0</v>
      </c>
      <c r="H44" s="3" t="str">
        <f>H36</f>
        <v>Aplicación terrestre Insecticida</v>
      </c>
      <c r="J44" s="3" t="s">
        <v>347</v>
      </c>
    </row>
    <row r="45" spans="1:10" s="3" customFormat="1" ht="13.8" x14ac:dyDescent="0.3">
      <c r="A45" s="212" t="s">
        <v>506</v>
      </c>
      <c r="B45" s="171">
        <v>0.05</v>
      </c>
      <c r="C45" s="18" t="s">
        <v>283</v>
      </c>
      <c r="D45" s="146">
        <f>Cotizaciones!I30</f>
        <v>100</v>
      </c>
      <c r="E45" s="146">
        <f t="shared" si="1"/>
        <v>5</v>
      </c>
      <c r="J45" s="3" t="s">
        <v>347</v>
      </c>
    </row>
    <row r="46" spans="1:10" s="3" customFormat="1" ht="13.8" x14ac:dyDescent="0.3">
      <c r="A46" s="212"/>
      <c r="B46" s="30"/>
      <c r="C46" s="667" t="s">
        <v>288</v>
      </c>
      <c r="D46" s="667"/>
      <c r="E46" s="176">
        <f>SUM(E36:E45)</f>
        <v>49.400000000000006</v>
      </c>
      <c r="F46" s="22">
        <f>E46/E57</f>
        <v>0.12380952380952383</v>
      </c>
      <c r="G46" s="21">
        <f>E46*B3</f>
        <v>0</v>
      </c>
    </row>
    <row r="47" spans="1:10" s="3" customFormat="1" ht="13.8" x14ac:dyDescent="0.3">
      <c r="A47" s="212"/>
      <c r="B47" s="27"/>
      <c r="C47" s="18"/>
      <c r="D47" s="28"/>
      <c r="E47" s="29"/>
    </row>
    <row r="48" spans="1:10" s="3" customFormat="1" ht="13.8" x14ac:dyDescent="0.3">
      <c r="A48" s="208" t="s">
        <v>289</v>
      </c>
      <c r="B48" s="11">
        <v>1</v>
      </c>
      <c r="C48" s="12" t="s">
        <v>290</v>
      </c>
      <c r="D48" s="258">
        <v>90</v>
      </c>
      <c r="E48" s="172">
        <f>+D48*B48</f>
        <v>90</v>
      </c>
      <c r="F48" s="15"/>
      <c r="H48" s="93">
        <v>41031</v>
      </c>
    </row>
    <row r="49" spans="1:7" s="3" customFormat="1" ht="13.8" x14ac:dyDescent="0.3">
      <c r="A49" s="213"/>
      <c r="B49" s="36"/>
      <c r="C49" s="754"/>
      <c r="D49" s="754"/>
      <c r="E49" s="176">
        <f>E48</f>
        <v>90</v>
      </c>
      <c r="F49" s="22">
        <f>E49/E57</f>
        <v>0.22556390977443608</v>
      </c>
      <c r="G49" s="21">
        <f>E49*B3</f>
        <v>0</v>
      </c>
    </row>
    <row r="50" spans="1:7" s="3" customFormat="1" ht="13.8" x14ac:dyDescent="0.3">
      <c r="A50" s="213"/>
      <c r="B50" s="36"/>
      <c r="C50" s="18"/>
      <c r="D50" s="28"/>
      <c r="E50" s="29"/>
    </row>
    <row r="51" spans="1:7" s="3" customFormat="1" ht="13.8" x14ac:dyDescent="0.3">
      <c r="A51" s="208" t="s">
        <v>292</v>
      </c>
      <c r="B51" s="182">
        <v>2.5</v>
      </c>
      <c r="C51" s="12" t="s">
        <v>241</v>
      </c>
      <c r="D51" s="255">
        <v>8</v>
      </c>
      <c r="E51" s="178">
        <f>D51</f>
        <v>8</v>
      </c>
      <c r="F51" s="15"/>
    </row>
    <row r="52" spans="1:7" s="3" customFormat="1" ht="13.8" x14ac:dyDescent="0.3">
      <c r="A52" s="213"/>
      <c r="B52" s="180"/>
      <c r="C52" s="754" t="s">
        <v>293</v>
      </c>
      <c r="D52" s="754"/>
      <c r="E52" s="176">
        <f>E51</f>
        <v>8</v>
      </c>
      <c r="F52" s="22">
        <f>E52/E57</f>
        <v>2.0050125313283207E-2</v>
      </c>
      <c r="G52" s="21">
        <f>E52*B3</f>
        <v>0</v>
      </c>
    </row>
    <row r="53" spans="1:7" s="3" customFormat="1" ht="13.8" x14ac:dyDescent="0.3">
      <c r="A53" s="213"/>
      <c r="B53" s="180"/>
      <c r="C53" s="7"/>
      <c r="D53" s="7"/>
      <c r="E53" s="38"/>
    </row>
    <row r="54" spans="1:7" s="3" customFormat="1" ht="13.8" x14ac:dyDescent="0.3">
      <c r="A54" s="208" t="s">
        <v>294</v>
      </c>
      <c r="B54" s="182">
        <v>0</v>
      </c>
      <c r="C54" s="12" t="s">
        <v>295</v>
      </c>
      <c r="D54" s="177">
        <v>0</v>
      </c>
      <c r="E54" s="178">
        <f>(E46+E34+E25+E18)*D54/100</f>
        <v>0</v>
      </c>
      <c r="F54" s="15"/>
    </row>
    <row r="55" spans="1:7" s="3" customFormat="1" ht="13.8" x14ac:dyDescent="0.3">
      <c r="A55" s="212"/>
      <c r="B55" s="27"/>
      <c r="C55" s="754" t="s">
        <v>296</v>
      </c>
      <c r="D55" s="754"/>
      <c r="E55" s="176"/>
      <c r="F55" s="22"/>
    </row>
    <row r="56" spans="1:7" s="3" customFormat="1" ht="13.8" x14ac:dyDescent="0.3">
      <c r="A56" s="212"/>
      <c r="B56" s="27"/>
      <c r="C56" s="7"/>
      <c r="D56" s="7"/>
      <c r="E56" s="38"/>
    </row>
    <row r="57" spans="1:7" s="3" customFormat="1" ht="13.8" x14ac:dyDescent="0.3">
      <c r="A57" s="212"/>
      <c r="B57" s="27"/>
      <c r="C57" s="667" t="s">
        <v>317</v>
      </c>
      <c r="D57" s="667"/>
      <c r="E57" s="176">
        <f>E18+E22+E25+E28+E34+E46+E49+E52+E55</f>
        <v>399</v>
      </c>
      <c r="F57" s="22">
        <f>F52+F68+F49+F46+F22+F18+F25</f>
        <v>0.97493734335839599</v>
      </c>
      <c r="G57" s="21">
        <f>+E57*B3</f>
        <v>0</v>
      </c>
    </row>
    <row r="58" spans="1:7" s="3" customFormat="1" ht="13.8" x14ac:dyDescent="0.3">
      <c r="A58" s="30"/>
      <c r="B58" s="27"/>
      <c r="C58" s="565"/>
      <c r="D58" s="565"/>
      <c r="E58" s="176"/>
      <c r="F58" s="22"/>
      <c r="G58" s="21"/>
    </row>
    <row r="59" spans="1:7" s="3" customFormat="1" ht="13.8" x14ac:dyDescent="0.3">
      <c r="A59" s="208" t="s">
        <v>300</v>
      </c>
      <c r="B59" s="23"/>
      <c r="C59" s="12"/>
      <c r="D59" s="24"/>
      <c r="E59" s="25"/>
      <c r="F59" s="15"/>
    </row>
    <row r="60" spans="1:7" s="3" customFormat="1" ht="13.8" x14ac:dyDescent="0.3">
      <c r="A60" s="213" t="s">
        <v>301</v>
      </c>
      <c r="B60" s="181">
        <v>0</v>
      </c>
      <c r="C60" s="18" t="s">
        <v>302</v>
      </c>
      <c r="D60" s="145">
        <f>Cotizaciones!F24</f>
        <v>3.3</v>
      </c>
      <c r="E60" s="146">
        <f>D60*B60*B74</f>
        <v>0</v>
      </c>
      <c r="F60" s="94"/>
    </row>
    <row r="61" spans="1:7" s="3" customFormat="1" ht="13.8" x14ac:dyDescent="0.3">
      <c r="A61" s="213" t="s">
        <v>303</v>
      </c>
      <c r="B61" s="181">
        <v>0</v>
      </c>
      <c r="C61" s="18" t="s">
        <v>355</v>
      </c>
      <c r="D61" s="145">
        <f>Cotizaciones!I41/210</f>
        <v>1.9523809523809523</v>
      </c>
      <c r="E61" s="146">
        <f>D61*B61*B74</f>
        <v>0</v>
      </c>
      <c r="F61" s="94"/>
    </row>
    <row r="62" spans="1:7" s="3" customFormat="1" ht="13.8" x14ac:dyDescent="0.3">
      <c r="A62" s="213" t="s">
        <v>305</v>
      </c>
      <c r="B62" s="181">
        <v>0.5</v>
      </c>
      <c r="C62" s="18" t="s">
        <v>302</v>
      </c>
      <c r="D62" s="146">
        <f>Cotizaciones!F33</f>
        <v>3</v>
      </c>
      <c r="E62" s="146">
        <f>+D62*B62*$B$74</f>
        <v>2.25</v>
      </c>
      <c r="F62" s="94"/>
    </row>
    <row r="63" spans="1:7" s="3" customFormat="1" ht="13.8" x14ac:dyDescent="0.3">
      <c r="A63" s="213" t="s">
        <v>306</v>
      </c>
      <c r="B63" s="181">
        <v>0.7</v>
      </c>
      <c r="C63" s="18" t="s">
        <v>302</v>
      </c>
      <c r="D63" s="146">
        <f>Cotizaciones!F35</f>
        <v>5</v>
      </c>
      <c r="E63" s="146">
        <f>+D63*B63*$B$74</f>
        <v>5.25</v>
      </c>
      <c r="F63" s="94"/>
    </row>
    <row r="64" spans="1:7" s="3" customFormat="1" ht="13.8" x14ac:dyDescent="0.3">
      <c r="A64" s="213" t="s">
        <v>83</v>
      </c>
      <c r="B64" s="181">
        <v>0.7</v>
      </c>
      <c r="C64" s="18" t="s">
        <v>302</v>
      </c>
      <c r="D64" s="146">
        <f>+Cotizaciones!F36</f>
        <v>6.5</v>
      </c>
      <c r="E64" s="146">
        <f>+D64*B64*$B$74</f>
        <v>6.8249999999999993</v>
      </c>
      <c r="F64" s="94"/>
    </row>
    <row r="65" spans="1:9" s="3" customFormat="1" ht="13.8" x14ac:dyDescent="0.3">
      <c r="A65" s="213" t="s">
        <v>307</v>
      </c>
      <c r="B65" s="181">
        <v>1</v>
      </c>
      <c r="C65" s="18" t="s">
        <v>302</v>
      </c>
      <c r="D65" s="146">
        <f>+Cotizaciones!E5/Cotizaciones!M20</f>
        <v>0.53083472598960413</v>
      </c>
      <c r="E65" s="146">
        <f>+D65*B65*$B$74</f>
        <v>0.79625208898440625</v>
      </c>
      <c r="F65" s="94"/>
    </row>
    <row r="66" spans="1:9" s="3" customFormat="1" ht="13.8" x14ac:dyDescent="0.3">
      <c r="A66" s="213" t="s">
        <v>308</v>
      </c>
      <c r="B66" s="181">
        <v>1</v>
      </c>
      <c r="C66" s="18" t="s">
        <v>302</v>
      </c>
      <c r="D66" s="521">
        <f>+'Cebada SP'!D71</f>
        <v>20</v>
      </c>
      <c r="E66" s="146">
        <f>+D66*B66*$B$74</f>
        <v>30</v>
      </c>
      <c r="F66" s="94"/>
    </row>
    <row r="67" spans="1:9" s="3" customFormat="1" ht="13.8" x14ac:dyDescent="0.3">
      <c r="A67" s="213" t="s">
        <v>309</v>
      </c>
      <c r="B67" s="181">
        <v>1</v>
      </c>
      <c r="C67" s="18" t="s">
        <v>295</v>
      </c>
      <c r="D67" s="146">
        <f>B67%*B74*Cotizaciones!B14</f>
        <v>5.3250000000000002</v>
      </c>
      <c r="E67" s="146">
        <f>D67</f>
        <v>5.3250000000000002</v>
      </c>
      <c r="F67" s="94"/>
    </row>
    <row r="68" spans="1:9" s="3" customFormat="1" ht="13.8" x14ac:dyDescent="0.3">
      <c r="A68" s="213"/>
      <c r="B68" s="37"/>
      <c r="C68" s="667" t="s">
        <v>310</v>
      </c>
      <c r="D68" s="667"/>
      <c r="E68" s="176">
        <f>SUM(E60:E67)</f>
        <v>50.446252088984409</v>
      </c>
      <c r="F68" s="22"/>
    </row>
    <row r="69" spans="1:9" s="3" customFormat="1" ht="13.8" x14ac:dyDescent="0.3">
      <c r="A69" s="30"/>
      <c r="B69" s="27"/>
      <c r="C69" s="566"/>
      <c r="D69" s="566"/>
      <c r="E69" s="227"/>
      <c r="F69" s="567"/>
    </row>
    <row r="70" spans="1:9" s="3" customFormat="1" ht="13.8" x14ac:dyDescent="0.3">
      <c r="A70" s="213" t="s">
        <v>356</v>
      </c>
      <c r="B70" s="27"/>
      <c r="C70" s="566"/>
      <c r="D70" s="566"/>
      <c r="E70" s="227">
        <f>+Cotizaciones!B14</f>
        <v>355</v>
      </c>
      <c r="F70" s="567"/>
    </row>
    <row r="71" spans="1:9" s="3" customFormat="1" ht="13.8" x14ac:dyDescent="0.3">
      <c r="A71" s="213" t="s">
        <v>311</v>
      </c>
      <c r="B71" s="30"/>
      <c r="C71" s="18"/>
      <c r="D71" s="28"/>
      <c r="E71" s="227">
        <f>+E68/B74</f>
        <v>33.630834725989608</v>
      </c>
      <c r="F71" s="22">
        <f>+E71/E70</f>
        <v>9.4734745707012985E-2</v>
      </c>
    </row>
    <row r="72" spans="1:9" s="3" customFormat="1" thickBot="1" x14ac:dyDescent="0.35">
      <c r="A72" s="213" t="s">
        <v>312</v>
      </c>
      <c r="D72" s="28"/>
      <c r="E72" s="227">
        <f>+E70-E71</f>
        <v>321.36916527401041</v>
      </c>
    </row>
    <row r="73" spans="1:9" s="3" customFormat="1" thickBot="1" x14ac:dyDescent="0.35">
      <c r="A73" s="756" t="s">
        <v>522</v>
      </c>
      <c r="B73" s="757"/>
      <c r="C73" s="758"/>
      <c r="D73" s="28"/>
      <c r="E73" s="227"/>
    </row>
    <row r="74" spans="1:9" s="3" customFormat="1" ht="13.8" x14ac:dyDescent="0.3">
      <c r="A74" s="193" t="s">
        <v>315</v>
      </c>
      <c r="B74" s="568">
        <v>1.5</v>
      </c>
      <c r="C74" s="194" t="s">
        <v>316</v>
      </c>
      <c r="D74" s="575" t="s">
        <v>357</v>
      </c>
      <c r="E74" s="18"/>
      <c r="G74" s="635" t="s">
        <v>524</v>
      </c>
      <c r="H74" s="635" t="s">
        <v>203</v>
      </c>
      <c r="I74"/>
    </row>
    <row r="75" spans="1:9" s="3" customFormat="1" ht="13.8" x14ac:dyDescent="0.3">
      <c r="A75" s="190" t="s">
        <v>358</v>
      </c>
      <c r="B75" s="574">
        <f>+E72</f>
        <v>321.36916527401041</v>
      </c>
      <c r="C75" s="196" t="s">
        <v>275</v>
      </c>
      <c r="D75" s="576"/>
      <c r="E75" s="117"/>
      <c r="F75" s="3" t="s">
        <v>319</v>
      </c>
      <c r="G75" s="636">
        <f>+E18</f>
        <v>74.5</v>
      </c>
      <c r="H75" s="636">
        <v>0</v>
      </c>
    </row>
    <row r="76" spans="1:9" s="3" customFormat="1" ht="13.8" x14ac:dyDescent="0.3">
      <c r="A76" s="191" t="s">
        <v>317</v>
      </c>
      <c r="B76" s="201">
        <f>+E57</f>
        <v>399</v>
      </c>
      <c r="C76" s="197" t="s">
        <v>21</v>
      </c>
      <c r="D76" s="244">
        <f>+B76+'Cebada SP'!B82</f>
        <v>1443.71</v>
      </c>
      <c r="E76" s="18"/>
      <c r="F76" s="3" t="s">
        <v>208</v>
      </c>
      <c r="G76" s="94"/>
      <c r="H76" s="140">
        <f>+E25</f>
        <v>85.2</v>
      </c>
    </row>
    <row r="77" spans="1:9" s="3" customFormat="1" ht="13.8" x14ac:dyDescent="0.3">
      <c r="A77" s="190" t="s">
        <v>322</v>
      </c>
      <c r="B77" s="200">
        <f>+B75*B74*0.98</f>
        <v>472.41267295279533</v>
      </c>
      <c r="C77" s="196" t="s">
        <v>318</v>
      </c>
      <c r="D77" s="244">
        <f>+B77+'Cebada SP'!B84</f>
        <v>1625.149516295904</v>
      </c>
      <c r="E77" s="88"/>
      <c r="F77" s="3" t="s">
        <v>139</v>
      </c>
      <c r="G77" s="636">
        <f>+E22</f>
        <v>81.900000000000006</v>
      </c>
      <c r="H77" s="94"/>
      <c r="I77" s="98"/>
    </row>
    <row r="78" spans="1:9" s="3" customFormat="1" ht="13.8" x14ac:dyDescent="0.3">
      <c r="A78" s="191" t="s">
        <v>321</v>
      </c>
      <c r="B78" s="202">
        <f>+B77-E57</f>
        <v>73.412672952795333</v>
      </c>
      <c r="C78" s="197" t="s">
        <v>318</v>
      </c>
      <c r="D78" s="244">
        <f>+D77-D76</f>
        <v>181.43951629590401</v>
      </c>
      <c r="E78" s="29"/>
      <c r="F78" s="3" t="s">
        <v>323</v>
      </c>
      <c r="G78" s="94"/>
      <c r="H78" s="140">
        <f>+D30</f>
        <v>0</v>
      </c>
    </row>
    <row r="79" spans="1:9" s="3" customFormat="1" ht="13.8" x14ac:dyDescent="0.3">
      <c r="A79" s="191" t="s">
        <v>325</v>
      </c>
      <c r="B79" s="273">
        <f>B78/E57</f>
        <v>0.18399166153582791</v>
      </c>
      <c r="C79" s="197"/>
      <c r="D79" s="273">
        <f>+D78/D76</f>
        <v>0.12567587416856849</v>
      </c>
      <c r="E79" s="30"/>
      <c r="F79" s="3" t="s">
        <v>324</v>
      </c>
      <c r="G79" s="140">
        <f>+E46</f>
        <v>49.400000000000006</v>
      </c>
      <c r="H79" s="94"/>
      <c r="I79" s="537"/>
    </row>
    <row r="80" spans="1:9" s="3" customFormat="1" ht="13.8" x14ac:dyDescent="0.3">
      <c r="A80" s="190" t="s">
        <v>326</v>
      </c>
      <c r="B80" s="234">
        <f>+E57/B75</f>
        <v>1.2415627979112398</v>
      </c>
      <c r="C80" s="197"/>
      <c r="D80" s="577"/>
      <c r="E80" s="30"/>
      <c r="F80" s="3" t="s">
        <v>207</v>
      </c>
      <c r="G80" s="94"/>
      <c r="H80" s="638">
        <f>+B27</f>
        <v>10</v>
      </c>
      <c r="I80" s="98"/>
    </row>
    <row r="81" spans="1:9" s="3" customFormat="1" ht="13.8" x14ac:dyDescent="0.3">
      <c r="A81" s="191" t="s">
        <v>164</v>
      </c>
      <c r="B81" s="203">
        <f>+E18+E22+E25+E28+E34+E46</f>
        <v>301</v>
      </c>
      <c r="C81" s="197"/>
      <c r="D81" s="577">
        <f>+B81+'Cebada SP'!B88</f>
        <v>1240.71</v>
      </c>
      <c r="E81" s="573"/>
      <c r="G81" s="636">
        <f>SUM(G75:G80)</f>
        <v>205.8</v>
      </c>
      <c r="H81" s="636">
        <f>SUM(H75:H80)</f>
        <v>95.2</v>
      </c>
      <c r="I81" s="535">
        <f>+H81+G81</f>
        <v>301</v>
      </c>
    </row>
    <row r="82" spans="1:9" s="3" customFormat="1" thickBot="1" x14ac:dyDescent="0.35">
      <c r="A82" s="192" t="s">
        <v>327</v>
      </c>
      <c r="B82" s="274">
        <f>B78/B81</f>
        <v>0.24389592343121372</v>
      </c>
      <c r="C82" s="199"/>
      <c r="D82" s="578">
        <f>+D78/D81</f>
        <v>0.14623845725101273</v>
      </c>
      <c r="E82" s="30"/>
      <c r="G82" s="637">
        <f>+G81/I81</f>
        <v>0.6837209302325582</v>
      </c>
      <c r="H82" s="637">
        <f>+H81/I81</f>
        <v>0.31627906976744186</v>
      </c>
      <c r="I82" s="92"/>
    </row>
    <row r="83" spans="1:9" s="3" customFormat="1" ht="13.8" x14ac:dyDescent="0.3">
      <c r="A83" s="18"/>
      <c r="B83" s="41"/>
      <c r="C83" s="41"/>
      <c r="D83" s="28"/>
      <c r="E83" s="30"/>
    </row>
    <row r="84" spans="1:9" s="3" customFormat="1" ht="13.8" x14ac:dyDescent="0.3">
      <c r="A84" s="755" t="s">
        <v>317</v>
      </c>
      <c r="B84" s="755"/>
      <c r="C84" s="42">
        <f>E57</f>
        <v>399</v>
      </c>
      <c r="D84" s="28"/>
      <c r="E84" s="30"/>
    </row>
    <row r="85" spans="1:9" s="3" customFormat="1" ht="13.8" x14ac:dyDescent="0.3">
      <c r="A85" s="142" t="s">
        <v>359</v>
      </c>
      <c r="B85" s="143"/>
      <c r="C85" s="143"/>
      <c r="D85" s="143"/>
      <c r="E85" s="143"/>
      <c r="F85" s="143"/>
      <c r="G85" s="143"/>
      <c r="H85" s="144"/>
    </row>
    <row r="86" spans="1:9" s="3" customFormat="1" ht="13.8" x14ac:dyDescent="0.3">
      <c r="A86" s="43" t="s">
        <v>332</v>
      </c>
      <c r="B86" s="44">
        <f t="shared" ref="B86:H86" si="2">B95</f>
        <v>0.59999999999999987</v>
      </c>
      <c r="C86" s="44">
        <f t="shared" si="2"/>
        <v>0.89999999999999991</v>
      </c>
      <c r="D86" s="44">
        <f>D95</f>
        <v>1.2</v>
      </c>
      <c r="E86" s="44">
        <f t="shared" si="2"/>
        <v>1.5</v>
      </c>
      <c r="F86" s="44">
        <f t="shared" si="2"/>
        <v>1.8</v>
      </c>
      <c r="G86" s="44">
        <f t="shared" si="2"/>
        <v>2.1</v>
      </c>
      <c r="H86" s="44">
        <f t="shared" si="2"/>
        <v>2.4</v>
      </c>
    </row>
    <row r="87" spans="1:9" s="3" customFormat="1" ht="13.8" x14ac:dyDescent="0.3">
      <c r="A87" s="47">
        <f>A88-10</f>
        <v>291.36916527401041</v>
      </c>
      <c r="B87" s="48">
        <f>B96/C84*100</f>
        <v>-56.185087928720243</v>
      </c>
      <c r="C87" s="48">
        <f>C96/C84*100</f>
        <v>-34.277631893080361</v>
      </c>
      <c r="D87" s="48">
        <f>D96/C84*100</f>
        <v>-12.370175857440477</v>
      </c>
      <c r="E87" s="49">
        <f>E96/C84*100</f>
        <v>9.5372801781994099</v>
      </c>
      <c r="F87" s="48">
        <f>F96/C84*100</f>
        <v>31.444736213839299</v>
      </c>
      <c r="G87" s="48">
        <f>G96/C84*100</f>
        <v>53.35219224947916</v>
      </c>
      <c r="H87" s="50">
        <f>H96/C84*100</f>
        <v>75.259648285119042</v>
      </c>
    </row>
    <row r="88" spans="1:9" s="3" customFormat="1" ht="13.8" x14ac:dyDescent="0.3">
      <c r="A88" s="47">
        <f>A89-10</f>
        <v>301.36916527401041</v>
      </c>
      <c r="B88" s="48">
        <f>B97/C84*100</f>
        <v>-54.681328530224008</v>
      </c>
      <c r="C88" s="48">
        <f>C97/C84*100</f>
        <v>-32.021992795336004</v>
      </c>
      <c r="D88" s="48">
        <f>D97/C84*100</f>
        <v>-9.3626570604479955</v>
      </c>
      <c r="E88" s="49">
        <f>E97/C84*100</f>
        <v>13.296678674440013</v>
      </c>
      <c r="F88" s="48">
        <f>F97/C84*100</f>
        <v>35.95601440932802</v>
      </c>
      <c r="G88" s="48">
        <f>G97/C84*100</f>
        <v>58.615350144216002</v>
      </c>
      <c r="H88" s="50">
        <f>H97/C84*100</f>
        <v>81.274685879103998</v>
      </c>
    </row>
    <row r="89" spans="1:9" s="3" customFormat="1" ht="13.8" x14ac:dyDescent="0.3">
      <c r="A89" s="47">
        <f>A90-10</f>
        <v>311.36916527401041</v>
      </c>
      <c r="B89" s="48">
        <f>B98/C84*100</f>
        <v>-53.177569131727765</v>
      </c>
      <c r="C89" s="48">
        <f>C98/C84*100</f>
        <v>-29.76635369759164</v>
      </c>
      <c r="D89" s="48">
        <f>D98/C84*100</f>
        <v>-6.3551382634555145</v>
      </c>
      <c r="E89" s="49">
        <f>E98/C84*100</f>
        <v>17.056077170680613</v>
      </c>
      <c r="F89" s="48">
        <f>F98/C84*100</f>
        <v>40.467292604816741</v>
      </c>
      <c r="G89" s="48">
        <f>G98/C84*100</f>
        <v>63.878508038952845</v>
      </c>
      <c r="H89" s="50">
        <f>H98/C84*100</f>
        <v>87.289723473088969</v>
      </c>
    </row>
    <row r="90" spans="1:9" s="3" customFormat="1" ht="13.8" x14ac:dyDescent="0.3">
      <c r="A90" s="51">
        <f>B75</f>
        <v>321.36916527401041</v>
      </c>
      <c r="B90" s="52">
        <f>B99/C84*100</f>
        <v>-51.673809733231536</v>
      </c>
      <c r="C90" s="53">
        <f>C99/C84*100</f>
        <v>-27.51071459984728</v>
      </c>
      <c r="D90" s="53">
        <f>D99/C84*100</f>
        <v>-3.3476194664630339</v>
      </c>
      <c r="E90" s="54">
        <f>E99/C84*100</f>
        <v>20.815475666921216</v>
      </c>
      <c r="F90" s="53">
        <f>F99/C84*100</f>
        <v>44.978570800305462</v>
      </c>
      <c r="G90" s="53">
        <f>G99/C84*100</f>
        <v>69.141665933689708</v>
      </c>
      <c r="H90" s="55">
        <f>H99/C84*100</f>
        <v>93.30476106707394</v>
      </c>
    </row>
    <row r="91" spans="1:9" s="3" customFormat="1" ht="13.8" x14ac:dyDescent="0.3">
      <c r="A91" s="47">
        <f>A90+10</f>
        <v>331.36916527401041</v>
      </c>
      <c r="B91" s="56">
        <f>B100/C84*100</f>
        <v>-50.170050334735294</v>
      </c>
      <c r="C91" s="56">
        <f>C100/C84*100</f>
        <v>-25.255075502102919</v>
      </c>
      <c r="D91" s="56">
        <f>D100/C84*100</f>
        <v>-0.34010066947055245</v>
      </c>
      <c r="E91" s="57">
        <f>E100/C84*100</f>
        <v>24.574874163161816</v>
      </c>
      <c r="F91" s="56">
        <f>F100/C84*100</f>
        <v>49.489848995794183</v>
      </c>
      <c r="G91" s="56">
        <f>G100/C84*100</f>
        <v>74.404823828426558</v>
      </c>
      <c r="H91" s="58">
        <f>H100/C84*100</f>
        <v>99.319798661058897</v>
      </c>
    </row>
    <row r="92" spans="1:9" s="3" customFormat="1" ht="13.8" x14ac:dyDescent="0.3">
      <c r="A92" s="47">
        <f>A91+10</f>
        <v>341.36916527401041</v>
      </c>
      <c r="B92" s="56">
        <f>B101/C84*100</f>
        <v>-48.666290936239051</v>
      </c>
      <c r="C92" s="56">
        <f>C101/C84*100</f>
        <v>-22.999436404358562</v>
      </c>
      <c r="D92" s="56">
        <f>D101/C84*100</f>
        <v>2.6674181275219286</v>
      </c>
      <c r="E92" s="57">
        <f>E101/C84*100</f>
        <v>28.334272659402419</v>
      </c>
      <c r="F92" s="56">
        <f>F101/C84*100</f>
        <v>54.001127191282905</v>
      </c>
      <c r="G92" s="56">
        <f>G101/C84*100</f>
        <v>79.667981723163393</v>
      </c>
      <c r="H92" s="58">
        <f>H101/C84*100</f>
        <v>105.33483625504385</v>
      </c>
    </row>
    <row r="93" spans="1:9" s="3" customFormat="1" ht="13.8" x14ac:dyDescent="0.3">
      <c r="A93" s="47">
        <f>A92+10</f>
        <v>351.36916527401041</v>
      </c>
      <c r="B93" s="56">
        <f>B102/C84*100</f>
        <v>-47.162531537742808</v>
      </c>
      <c r="C93" s="56">
        <f>C102/C84*100</f>
        <v>-20.743797306614201</v>
      </c>
      <c r="D93" s="56">
        <f>D102/C84*100</f>
        <v>5.6749369245144097</v>
      </c>
      <c r="E93" s="57">
        <f>E102/C84*100</f>
        <v>32.093671155643023</v>
      </c>
      <c r="F93" s="56">
        <f>F102/C84*100</f>
        <v>58.512405386771626</v>
      </c>
      <c r="G93" s="56">
        <f>G102/C84*100</f>
        <v>84.931139617900243</v>
      </c>
      <c r="H93" s="58">
        <f>H102/C84*100</f>
        <v>111.34987384902881</v>
      </c>
    </row>
    <row r="94" spans="1:9" s="3" customFormat="1" ht="13.8" x14ac:dyDescent="0.3">
      <c r="A94" s="745" t="s">
        <v>360</v>
      </c>
      <c r="B94" s="746"/>
      <c r="C94" s="746"/>
      <c r="D94" s="746"/>
      <c r="E94" s="746"/>
      <c r="F94" s="746"/>
      <c r="G94" s="746"/>
      <c r="H94" s="747"/>
    </row>
    <row r="95" spans="1:9" s="3" customFormat="1" ht="13.8" x14ac:dyDescent="0.3">
      <c r="A95" s="43" t="s">
        <v>332</v>
      </c>
      <c r="B95" s="44">
        <f>C95-0.3</f>
        <v>0.59999999999999987</v>
      </c>
      <c r="C95" s="44">
        <f>D95-0.3</f>
        <v>0.89999999999999991</v>
      </c>
      <c r="D95" s="44">
        <f>E95-0.3</f>
        <v>1.2</v>
      </c>
      <c r="E95" s="45">
        <f>B74</f>
        <v>1.5</v>
      </c>
      <c r="F95" s="44">
        <f>E95+0.3</f>
        <v>1.8</v>
      </c>
      <c r="G95" s="44">
        <f>F95+0.3</f>
        <v>2.1</v>
      </c>
      <c r="H95" s="44">
        <f>G95+0.3</f>
        <v>2.4</v>
      </c>
    </row>
    <row r="96" spans="1:9" s="3" customFormat="1" x14ac:dyDescent="0.3">
      <c r="A96" s="47">
        <f>A97-10</f>
        <v>291.36916527401041</v>
      </c>
      <c r="B96" s="420">
        <f>(B95*A96)-C84</f>
        <v>-224.17850083559378</v>
      </c>
      <c r="C96" s="420">
        <f>(C95*A96)-C84</f>
        <v>-136.76775125339066</v>
      </c>
      <c r="D96" s="420">
        <f>(D95*A96)-C84</f>
        <v>-49.357001671187504</v>
      </c>
      <c r="E96" s="420">
        <f>(E95*A96)-C84</f>
        <v>38.053747911015648</v>
      </c>
      <c r="F96" s="420">
        <f>(F95*A96)-C84</f>
        <v>125.4644974932188</v>
      </c>
      <c r="G96" s="420">
        <f>(G95*A96)-C84</f>
        <v>212.87524707542184</v>
      </c>
      <c r="H96" s="420">
        <f>(H95*A96)-C84</f>
        <v>300.28599665762499</v>
      </c>
    </row>
    <row r="97" spans="1:8" s="3" customFormat="1" x14ac:dyDescent="0.3">
      <c r="A97" s="47">
        <f>A98-10</f>
        <v>301.36916527401041</v>
      </c>
      <c r="B97" s="420">
        <f>(B95*A97)-C84</f>
        <v>-218.17850083559378</v>
      </c>
      <c r="C97" s="420">
        <f>(C95*A97)-C84</f>
        <v>-127.76775125339066</v>
      </c>
      <c r="D97" s="420">
        <f>(D95*A97)-C84</f>
        <v>-37.357001671187504</v>
      </c>
      <c r="E97" s="420">
        <f>(E95*A97)-C84</f>
        <v>53.053747911015648</v>
      </c>
      <c r="F97" s="420">
        <f>(F95*A97)-C84</f>
        <v>143.4644974932188</v>
      </c>
      <c r="G97" s="420">
        <f>(G95*A97)-C84</f>
        <v>233.87524707542184</v>
      </c>
      <c r="H97" s="420">
        <f>(H95*A97)-C84</f>
        <v>324.28599665762499</v>
      </c>
    </row>
    <row r="98" spans="1:8" s="3" customFormat="1" x14ac:dyDescent="0.3">
      <c r="A98" s="47">
        <f>A99-10</f>
        <v>311.36916527401041</v>
      </c>
      <c r="B98" s="420">
        <f>(A98*B95)-C84</f>
        <v>-212.17850083559378</v>
      </c>
      <c r="C98" s="420">
        <f>(C95*A98)-C84</f>
        <v>-118.76775125339066</v>
      </c>
      <c r="D98" s="420">
        <f>(D95*A98)-C84</f>
        <v>-25.357001671187504</v>
      </c>
      <c r="E98" s="420">
        <f>(E95*A98)-C84</f>
        <v>68.053747911015648</v>
      </c>
      <c r="F98" s="420">
        <f>(F95*A98)-C84</f>
        <v>161.4644974932188</v>
      </c>
      <c r="G98" s="420">
        <f>(G95*A98)-C84</f>
        <v>254.87524707542184</v>
      </c>
      <c r="H98" s="420">
        <f>(H95*A98)-C84</f>
        <v>348.28599665762499</v>
      </c>
    </row>
    <row r="99" spans="1:8" s="3" customFormat="1" x14ac:dyDescent="0.3">
      <c r="A99" s="51">
        <f>B75</f>
        <v>321.36916527401041</v>
      </c>
      <c r="B99" s="420">
        <f>(A99*B95)-C84</f>
        <v>-206.17850083559381</v>
      </c>
      <c r="C99" s="420">
        <f>(A99*C95)-C84</f>
        <v>-109.76775125339066</v>
      </c>
      <c r="D99" s="420">
        <f>(D95*A99)-C84</f>
        <v>-13.357001671187504</v>
      </c>
      <c r="E99" s="420">
        <f>(A99*E95)-C84</f>
        <v>83.053747911015648</v>
      </c>
      <c r="F99" s="420">
        <f>(A99*F95)-C84</f>
        <v>179.4644974932188</v>
      </c>
      <c r="G99" s="420">
        <f>(G95*A99)-C84</f>
        <v>275.87524707542195</v>
      </c>
      <c r="H99" s="420">
        <f>(H95*A99)-C84</f>
        <v>372.28599665762499</v>
      </c>
    </row>
    <row r="100" spans="1:8" s="3" customFormat="1" x14ac:dyDescent="0.3">
      <c r="A100" s="47">
        <f>A99+10</f>
        <v>331.36916527401041</v>
      </c>
      <c r="B100" s="420">
        <f>(A100*B95)-C84</f>
        <v>-200.17850083559381</v>
      </c>
      <c r="C100" s="420">
        <f>(C95*A100)-C84</f>
        <v>-100.76775125339066</v>
      </c>
      <c r="D100" s="420">
        <f>(D95*A100)-C84</f>
        <v>-1.3570016711875041</v>
      </c>
      <c r="E100" s="420">
        <f>(E95*A100)-C84</f>
        <v>98.053747911015648</v>
      </c>
      <c r="F100" s="420">
        <f>(F95*A100)-C84</f>
        <v>197.4644974932188</v>
      </c>
      <c r="G100" s="420">
        <f>(G95*A100)-C84</f>
        <v>296.87524707542195</v>
      </c>
      <c r="H100" s="420">
        <f>(H95*A100)-C84</f>
        <v>396.28599665762499</v>
      </c>
    </row>
    <row r="101" spans="1:8" x14ac:dyDescent="0.3">
      <c r="A101" s="47">
        <f>A100+10</f>
        <v>341.36916527401041</v>
      </c>
      <c r="B101" s="420">
        <f>(A101*B95)-C84</f>
        <v>-194.17850083559381</v>
      </c>
      <c r="C101" s="420">
        <f>(C95*A101)-C84</f>
        <v>-91.767751253390657</v>
      </c>
      <c r="D101" s="420">
        <f>(D95*A101)-C84</f>
        <v>10.642998328812496</v>
      </c>
      <c r="E101" s="420">
        <f>(E95*A101)-C84</f>
        <v>113.05374791101565</v>
      </c>
      <c r="F101" s="420">
        <f>(F95*A101)-C84</f>
        <v>215.4644974932188</v>
      </c>
      <c r="G101" s="420">
        <f>(G95*A101)-C84</f>
        <v>317.87524707542195</v>
      </c>
      <c r="H101" s="420">
        <f>(H95*A101)-C84</f>
        <v>420.28599665762499</v>
      </c>
    </row>
    <row r="102" spans="1:8" x14ac:dyDescent="0.3">
      <c r="A102" s="59">
        <f>A101+10</f>
        <v>351.36916527401041</v>
      </c>
      <c r="B102" s="420">
        <f>(B95*A102)-C84</f>
        <v>-188.17850083559381</v>
      </c>
      <c r="C102" s="420">
        <f>(C95*A102)-C84</f>
        <v>-82.767751253390657</v>
      </c>
      <c r="D102" s="420">
        <f>(D95*A102)-C84</f>
        <v>22.642998328812496</v>
      </c>
      <c r="E102" s="420">
        <f>(E95*A102)-C84</f>
        <v>128.05374791101565</v>
      </c>
      <c r="F102" s="420">
        <f>(F95*A102)-C84</f>
        <v>233.4644974932188</v>
      </c>
      <c r="G102" s="420">
        <f>(G95*A102)-C84</f>
        <v>338.87524707542195</v>
      </c>
      <c r="H102" s="420">
        <f>(A102*H95)-C84</f>
        <v>444.28599665762499</v>
      </c>
    </row>
  </sheetData>
  <mergeCells count="15">
    <mergeCell ref="A1:H1"/>
    <mergeCell ref="C18:D18"/>
    <mergeCell ref="A84:B84"/>
    <mergeCell ref="C49:D49"/>
    <mergeCell ref="C68:D68"/>
    <mergeCell ref="C52:D52"/>
    <mergeCell ref="C55:D55"/>
    <mergeCell ref="C57:D57"/>
    <mergeCell ref="A73:C73"/>
    <mergeCell ref="A94:H94"/>
    <mergeCell ref="C22:D22"/>
    <mergeCell ref="C25:D25"/>
    <mergeCell ref="C28:D28"/>
    <mergeCell ref="C34:D34"/>
    <mergeCell ref="C46:D46"/>
  </mergeCells>
  <pageMargins left="0.1701388888888889" right="0.3" top="0.37013888888888891" bottom="1.320138888888889" header="0.51180555555555551" footer="0.51180555555555551"/>
  <pageSetup paperSize="9" scale="55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"/>
  <sheetViews>
    <sheetView showGridLines="0" topLeftCell="A74" zoomScale="106" zoomScaleNormal="100" workbookViewId="0">
      <selection activeCell="G83" sqref="G83"/>
    </sheetView>
  </sheetViews>
  <sheetFormatPr baseColWidth="10" defaultColWidth="10.6640625" defaultRowHeight="14.4" x14ac:dyDescent="0.3"/>
  <cols>
    <col min="1" max="1" width="34.5546875" style="1" customWidth="1"/>
    <col min="2" max="3" width="10.5546875" style="1" bestFit="1" customWidth="1"/>
    <col min="4" max="4" width="11" style="2" bestFit="1" customWidth="1"/>
    <col min="5" max="5" width="10" style="1" bestFit="1" customWidth="1"/>
    <col min="6" max="6" width="12.33203125" style="1" bestFit="1" customWidth="1"/>
    <col min="7" max="7" width="23.109375" style="1" customWidth="1"/>
    <col min="8" max="8" width="28.88671875" style="1" bestFit="1" customWidth="1"/>
    <col min="9" max="9" width="24.44140625" style="1" bestFit="1" customWidth="1"/>
    <col min="10" max="10" width="16.109375" style="1" bestFit="1" customWidth="1"/>
    <col min="11" max="11" width="10.6640625" style="1"/>
    <col min="12" max="12" width="12.44140625" style="1" bestFit="1" customWidth="1"/>
    <col min="13" max="16384" width="10.6640625" style="1"/>
  </cols>
  <sheetData>
    <row r="1" spans="1:10" s="3" customFormat="1" ht="21.6" thickBot="1" x14ac:dyDescent="0.45">
      <c r="A1" s="664" t="s">
        <v>361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205"/>
      <c r="B4" s="206"/>
      <c r="D4" s="17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G5" s="9" t="s">
        <v>199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J7" s="19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+'Cebada SP'!D8</f>
        <v>29.014942695488177</v>
      </c>
      <c r="E8" s="216">
        <f t="shared" ref="E8:E19" si="0">B8*D8</f>
        <v>0</v>
      </c>
      <c r="J8" s="19" t="s">
        <v>249</v>
      </c>
    </row>
    <row r="9" spans="1:10" s="3" customFormat="1" ht="13.8" x14ac:dyDescent="0.3">
      <c r="A9" s="209" t="s">
        <v>250</v>
      </c>
      <c r="B9" s="169">
        <v>1</v>
      </c>
      <c r="C9" s="18" t="s">
        <v>247</v>
      </c>
      <c r="D9" s="117">
        <v>23</v>
      </c>
      <c r="E9" s="216">
        <f t="shared" si="0"/>
        <v>23</v>
      </c>
      <c r="J9" s="19" t="s">
        <v>249</v>
      </c>
    </row>
    <row r="10" spans="1:10" s="3" customFormat="1" ht="13.8" x14ac:dyDescent="0.3">
      <c r="A10" s="209" t="s">
        <v>251</v>
      </c>
      <c r="B10" s="169">
        <v>2</v>
      </c>
      <c r="C10" s="18" t="s">
        <v>247</v>
      </c>
      <c r="D10" s="117">
        <v>6.5</v>
      </c>
      <c r="E10" s="117">
        <f t="shared" si="0"/>
        <v>13</v>
      </c>
      <c r="G10" s="93">
        <v>41030</v>
      </c>
      <c r="J10" s="19" t="s">
        <v>249</v>
      </c>
    </row>
    <row r="11" spans="1:10" s="3" customFormat="1" ht="13.8" x14ac:dyDescent="0.3">
      <c r="A11" s="209" t="s">
        <v>252</v>
      </c>
      <c r="B11" s="169">
        <v>1</v>
      </c>
      <c r="C11" s="18" t="s">
        <v>247</v>
      </c>
      <c r="D11" s="522">
        <v>55</v>
      </c>
      <c r="E11" s="117">
        <f t="shared" si="0"/>
        <v>55</v>
      </c>
      <c r="G11" s="3" t="s">
        <v>362</v>
      </c>
      <c r="J11" s="19" t="s">
        <v>336</v>
      </c>
    </row>
    <row r="12" spans="1:10" s="3" customFormat="1" ht="13.8" x14ac:dyDescent="0.3">
      <c r="A12" s="209" t="s">
        <v>254</v>
      </c>
      <c r="B12" s="169">
        <v>1</v>
      </c>
      <c r="C12" s="18" t="s">
        <v>247</v>
      </c>
      <c r="D12" s="522">
        <v>6.5</v>
      </c>
      <c r="E12" s="117">
        <f t="shared" si="0"/>
        <v>6.5</v>
      </c>
      <c r="G12" s="93">
        <v>41091</v>
      </c>
      <c r="J12" s="19" t="s">
        <v>256</v>
      </c>
    </row>
    <row r="13" spans="1:10" s="3" customFormat="1" ht="13.8" x14ac:dyDescent="0.3">
      <c r="A13" s="209" t="s">
        <v>257</v>
      </c>
      <c r="B13" s="169">
        <v>0</v>
      </c>
      <c r="C13" s="18" t="s">
        <v>247</v>
      </c>
      <c r="D13" s="522">
        <v>6.5</v>
      </c>
      <c r="E13" s="117">
        <f t="shared" si="0"/>
        <v>0</v>
      </c>
      <c r="G13" s="93">
        <v>41091</v>
      </c>
      <c r="J13" s="19" t="s">
        <v>256</v>
      </c>
    </row>
    <row r="14" spans="1:10" s="3" customFormat="1" ht="13.8" x14ac:dyDescent="0.3">
      <c r="A14" s="209" t="s">
        <v>258</v>
      </c>
      <c r="B14" s="169">
        <v>2</v>
      </c>
      <c r="C14" s="18" t="s">
        <v>247</v>
      </c>
      <c r="D14" s="117">
        <v>11</v>
      </c>
      <c r="E14" s="117">
        <f t="shared" si="0"/>
        <v>22</v>
      </c>
      <c r="G14" s="93">
        <v>41061</v>
      </c>
      <c r="H14" s="93">
        <v>41122</v>
      </c>
      <c r="J14" s="19" t="s">
        <v>363</v>
      </c>
    </row>
    <row r="15" spans="1:10" s="3" customFormat="1" ht="13.8" x14ac:dyDescent="0.3">
      <c r="A15" s="209" t="s">
        <v>364</v>
      </c>
      <c r="B15" s="169">
        <v>2</v>
      </c>
      <c r="C15" s="18" t="s">
        <v>247</v>
      </c>
      <c r="D15" s="522">
        <v>6.5</v>
      </c>
      <c r="E15" s="117">
        <f t="shared" si="0"/>
        <v>13</v>
      </c>
      <c r="G15" s="93">
        <v>41184</v>
      </c>
      <c r="J15" s="19" t="s">
        <v>276</v>
      </c>
    </row>
    <row r="16" spans="1:10" s="3" customFormat="1" ht="13.8" x14ac:dyDescent="0.3">
      <c r="A16" s="209" t="s">
        <v>262</v>
      </c>
      <c r="B16" s="169">
        <v>1</v>
      </c>
      <c r="C16" s="18" t="s">
        <v>247</v>
      </c>
      <c r="D16" s="117">
        <v>0</v>
      </c>
      <c r="E16" s="117">
        <f t="shared" si="0"/>
        <v>0</v>
      </c>
      <c r="G16" s="93">
        <f>+G10</f>
        <v>41030</v>
      </c>
      <c r="J16" s="19" t="s">
        <v>249</v>
      </c>
    </row>
    <row r="17" spans="1:10" s="3" customFormat="1" ht="13.8" x14ac:dyDescent="0.3">
      <c r="A17" s="209" t="s">
        <v>263</v>
      </c>
      <c r="B17" s="169">
        <v>1</v>
      </c>
      <c r="C17" s="18" t="s">
        <v>247</v>
      </c>
      <c r="D17" s="117">
        <v>1</v>
      </c>
      <c r="E17" s="117">
        <f t="shared" si="0"/>
        <v>1</v>
      </c>
      <c r="G17" s="93">
        <f>+G10</f>
        <v>41030</v>
      </c>
      <c r="J17" s="19" t="s">
        <v>249</v>
      </c>
    </row>
    <row r="18" spans="1:10" s="3" customFormat="1" ht="13.8" x14ac:dyDescent="0.3">
      <c r="A18" s="209" t="s">
        <v>264</v>
      </c>
      <c r="B18" s="169">
        <v>0</v>
      </c>
      <c r="C18" s="18" t="s">
        <v>247</v>
      </c>
      <c r="D18" s="117">
        <v>0</v>
      </c>
      <c r="E18" s="117">
        <f t="shared" si="0"/>
        <v>0</v>
      </c>
      <c r="J18" s="19"/>
    </row>
    <row r="19" spans="1:10" s="3" customFormat="1" ht="13.8" x14ac:dyDescent="0.3">
      <c r="A19" s="209" t="s">
        <v>32</v>
      </c>
      <c r="B19" s="169">
        <v>0</v>
      </c>
      <c r="C19" s="18" t="s">
        <v>247</v>
      </c>
      <c r="D19" s="117">
        <f>+'Cebada SP'!D20</f>
        <v>0</v>
      </c>
      <c r="E19" s="117">
        <f t="shared" si="0"/>
        <v>0</v>
      </c>
      <c r="J19" s="19" t="s">
        <v>249</v>
      </c>
    </row>
    <row r="20" spans="1:10" s="3" customFormat="1" ht="15" customHeight="1" x14ac:dyDescent="0.3">
      <c r="A20" s="210"/>
      <c r="B20" s="20"/>
      <c r="C20" s="667" t="s">
        <v>265</v>
      </c>
      <c r="D20" s="667"/>
      <c r="E20" s="141">
        <f>SUM(E8:E19)</f>
        <v>133.5</v>
      </c>
      <c r="F20" s="22">
        <f>E20/E60</f>
        <v>0.13001938116618134</v>
      </c>
      <c r="G20" s="32">
        <f>E20*D1</f>
        <v>0</v>
      </c>
      <c r="I20" s="141">
        <f>+E20*B3</f>
        <v>0</v>
      </c>
    </row>
    <row r="21" spans="1:10" s="3" customFormat="1" ht="13.8" x14ac:dyDescent="0.3">
      <c r="A21" s="208" t="s">
        <v>205</v>
      </c>
      <c r="B21" s="23"/>
      <c r="C21" s="12"/>
      <c r="D21" s="24"/>
      <c r="E21" s="25"/>
      <c r="F21" s="15"/>
    </row>
    <row r="22" spans="1:10" s="3" customFormat="1" ht="13.8" x14ac:dyDescent="0.3">
      <c r="A22" s="212" t="s">
        <v>365</v>
      </c>
      <c r="B22" s="169">
        <v>140</v>
      </c>
      <c r="C22" s="18" t="s">
        <v>350</v>
      </c>
      <c r="D22" s="161">
        <f>Cotizaciones!E47</f>
        <v>0.52500000000000002</v>
      </c>
      <c r="E22" s="217">
        <f>B22*D22</f>
        <v>73.5</v>
      </c>
      <c r="G22" s="3" t="str">
        <f>+A11</f>
        <v xml:space="preserve">Siembra </v>
      </c>
    </row>
    <row r="23" spans="1:10" s="3" customFormat="1" ht="13.8" x14ac:dyDescent="0.3">
      <c r="A23" s="3" t="s">
        <v>269</v>
      </c>
      <c r="D23" s="161">
        <f>+D35</f>
        <v>35</v>
      </c>
      <c r="E23" s="217">
        <f>+D23*B22/1000</f>
        <v>4.9000000000000004</v>
      </c>
      <c r="J23" s="3" t="s">
        <v>253</v>
      </c>
    </row>
    <row r="24" spans="1:10" s="3" customFormat="1" ht="13.8" x14ac:dyDescent="0.3">
      <c r="A24" s="212"/>
      <c r="B24" s="18"/>
      <c r="C24" s="667" t="s">
        <v>270</v>
      </c>
      <c r="D24" s="667"/>
      <c r="E24" s="141">
        <f>SUM(E22:E23)</f>
        <v>78.400000000000006</v>
      </c>
      <c r="F24" s="22">
        <f>E24/E60</f>
        <v>7.6355951186731219E-2</v>
      </c>
      <c r="G24" s="32">
        <f>E24*D1</f>
        <v>0</v>
      </c>
      <c r="H24" s="3">
        <f>+E24*B3</f>
        <v>0</v>
      </c>
      <c r="I24" s="3">
        <f>+E24*B3</f>
        <v>0</v>
      </c>
    </row>
    <row r="25" spans="1:10" s="3" customFormat="1" ht="13.8" x14ac:dyDescent="0.3">
      <c r="A25" s="212"/>
      <c r="B25" s="87"/>
      <c r="C25" s="18"/>
      <c r="D25" s="28"/>
      <c r="E25" s="29"/>
      <c r="G25" s="38"/>
    </row>
    <row r="26" spans="1:10" s="3" customFormat="1" ht="13.8" x14ac:dyDescent="0.3">
      <c r="A26" s="208" t="s">
        <v>206</v>
      </c>
      <c r="B26" s="11">
        <v>0.8</v>
      </c>
      <c r="C26" s="12" t="s">
        <v>247</v>
      </c>
      <c r="D26" s="86">
        <f>+'Resumen Proy'!C57</f>
        <v>426</v>
      </c>
      <c r="E26" s="64">
        <f>B26*D26</f>
        <v>340.8</v>
      </c>
      <c r="F26" s="15"/>
    </row>
    <row r="27" spans="1:10" s="3" customFormat="1" ht="13.8" x14ac:dyDescent="0.3">
      <c r="A27" s="212"/>
      <c r="B27" s="87"/>
      <c r="C27" s="754" t="s">
        <v>271</v>
      </c>
      <c r="D27" s="754"/>
      <c r="E27" s="176">
        <f>E26</f>
        <v>340.8</v>
      </c>
      <c r="F27" s="22">
        <f>E27/E60</f>
        <v>0.3319146449545663</v>
      </c>
      <c r="G27" s="32">
        <f>E27*D1</f>
        <v>0</v>
      </c>
      <c r="I27" s="3">
        <f>+'[2]Alquileres por campo'!$S$56</f>
        <v>19501.650000000001</v>
      </c>
    </row>
    <row r="28" spans="1:10" s="3" customFormat="1" ht="13.8" x14ac:dyDescent="0.3">
      <c r="A28" s="212"/>
      <c r="B28" s="87"/>
      <c r="C28" s="18"/>
      <c r="D28" s="28"/>
      <c r="E28" s="29"/>
    </row>
    <row r="29" spans="1:10" s="3" customFormat="1" ht="13.8" x14ac:dyDescent="0.3">
      <c r="A29" s="208" t="s">
        <v>207</v>
      </c>
      <c r="B29" s="281">
        <v>30</v>
      </c>
      <c r="C29" s="12" t="s">
        <v>272</v>
      </c>
      <c r="D29" s="173">
        <f>B29</f>
        <v>30</v>
      </c>
      <c r="E29" s="174">
        <f>D29</f>
        <v>30</v>
      </c>
      <c r="F29" s="15"/>
    </row>
    <row r="30" spans="1:10" s="3" customFormat="1" ht="13.8" x14ac:dyDescent="0.3">
      <c r="A30" s="212"/>
      <c r="B30" s="87"/>
      <c r="C30" s="667" t="s">
        <v>273</v>
      </c>
      <c r="D30" s="667"/>
      <c r="E30" s="141">
        <f>E29</f>
        <v>30</v>
      </c>
      <c r="F30" s="22">
        <f>E30/E60</f>
        <v>2.9217838464310412E-2</v>
      </c>
      <c r="G30" s="32">
        <f>E30*D1</f>
        <v>0</v>
      </c>
    </row>
    <row r="31" spans="1:10" s="3" customFormat="1" ht="13.8" x14ac:dyDescent="0.3">
      <c r="A31" s="212"/>
      <c r="B31" s="87"/>
      <c r="C31" s="7"/>
      <c r="D31" s="7"/>
      <c r="E31" s="33"/>
    </row>
    <row r="32" spans="1:10" s="3" customFormat="1" ht="13.8" x14ac:dyDescent="0.3">
      <c r="A32" s="208" t="s">
        <v>140</v>
      </c>
      <c r="B32" s="11"/>
      <c r="C32" s="12"/>
      <c r="D32" s="24"/>
      <c r="E32" s="25"/>
      <c r="F32" s="15"/>
    </row>
    <row r="33" spans="1:10" s="3" customFormat="1" ht="13.8" x14ac:dyDescent="0.3">
      <c r="A33" s="583" t="s">
        <v>366</v>
      </c>
      <c r="B33" s="170">
        <v>0.08</v>
      </c>
      <c r="C33" s="18" t="s">
        <v>275</v>
      </c>
      <c r="D33" s="161">
        <f>+Cotizaciones!I25</f>
        <v>990</v>
      </c>
      <c r="E33" s="146">
        <f>B33*D33</f>
        <v>79.2</v>
      </c>
      <c r="G33" s="219" t="str">
        <f>+G22</f>
        <v xml:space="preserve">Siembra </v>
      </c>
      <c r="I33" s="3">
        <f>+E33*B3</f>
        <v>0</v>
      </c>
      <c r="J33" s="3" t="s">
        <v>276</v>
      </c>
    </row>
    <row r="34" spans="1:10" s="3" customFormat="1" ht="13.8" x14ac:dyDescent="0.3">
      <c r="A34" s="212" t="s">
        <v>367</v>
      </c>
      <c r="B34" s="170">
        <v>0.22</v>
      </c>
      <c r="C34" s="18" t="s">
        <v>275</v>
      </c>
      <c r="D34" s="161">
        <f>Cotizaciones!I34</f>
        <v>610</v>
      </c>
      <c r="E34" s="146">
        <f>B34*D34</f>
        <v>134.19999999999999</v>
      </c>
      <c r="G34" s="93">
        <f>+G14</f>
        <v>41061</v>
      </c>
      <c r="H34" s="93">
        <f>+H14</f>
        <v>41122</v>
      </c>
      <c r="I34" s="3">
        <f>+E34*B3</f>
        <v>0</v>
      </c>
      <c r="J34" s="3" t="s">
        <v>268</v>
      </c>
    </row>
    <row r="35" spans="1:10" s="3" customFormat="1" ht="13.8" x14ac:dyDescent="0.3">
      <c r="A35" s="210" t="s">
        <v>269</v>
      </c>
      <c r="B35" s="170">
        <f>+B34+B33</f>
        <v>0.3</v>
      </c>
      <c r="C35" s="18"/>
      <c r="D35" s="522">
        <f>+'Cebada SP'!D35</f>
        <v>35</v>
      </c>
      <c r="E35" s="146">
        <f>+D35*B35</f>
        <v>10.5</v>
      </c>
      <c r="F35" s="94"/>
      <c r="G35" s="94"/>
    </row>
    <row r="36" spans="1:10" s="3" customFormat="1" ht="13.8" x14ac:dyDescent="0.3">
      <c r="A36" s="212"/>
      <c r="B36" s="18"/>
      <c r="C36" s="667" t="s">
        <v>280</v>
      </c>
      <c r="D36" s="667"/>
      <c r="E36" s="176">
        <f>+E35+E34+E33</f>
        <v>223.89999999999998</v>
      </c>
      <c r="F36" s="22">
        <f>E36/E60</f>
        <v>0.21806246773863669</v>
      </c>
      <c r="G36" s="32">
        <f>E36*D1</f>
        <v>0</v>
      </c>
      <c r="H36" s="3">
        <f>+E36*B3</f>
        <v>0</v>
      </c>
    </row>
    <row r="37" spans="1:10" s="3" customFormat="1" ht="13.8" x14ac:dyDescent="0.3">
      <c r="A37" s="208" t="s">
        <v>118</v>
      </c>
      <c r="B37" s="12"/>
      <c r="C37" s="67"/>
      <c r="D37" s="67"/>
      <c r="E37" s="68"/>
      <c r="F37" s="15"/>
    </row>
    <row r="38" spans="1:10" s="3" customFormat="1" ht="13.8" x14ac:dyDescent="0.3">
      <c r="A38" s="212" t="s">
        <v>282</v>
      </c>
      <c r="B38" s="169">
        <v>2</v>
      </c>
      <c r="C38" s="18" t="s">
        <v>283</v>
      </c>
      <c r="D38" s="117">
        <f>+Cotizaciones!I45</f>
        <v>2.6</v>
      </c>
      <c r="E38" s="117">
        <f t="shared" ref="E38:E43" si="1">B38*D38</f>
        <v>5.2</v>
      </c>
      <c r="G38" s="3" t="str">
        <f>+G33</f>
        <v xml:space="preserve">Siembra </v>
      </c>
      <c r="J38" s="3" t="s">
        <v>249</v>
      </c>
    </row>
    <row r="39" spans="1:10" s="3" customFormat="1" ht="13.8" x14ac:dyDescent="0.3">
      <c r="A39" s="212" t="s">
        <v>529</v>
      </c>
      <c r="B39" s="171">
        <v>0.12</v>
      </c>
      <c r="C39" s="18" t="s">
        <v>283</v>
      </c>
      <c r="D39" s="117">
        <f>+Cotizaciones!I50</f>
        <v>80</v>
      </c>
      <c r="E39" s="117">
        <f t="shared" si="1"/>
        <v>9.6</v>
      </c>
      <c r="G39" s="3" t="str">
        <f>+A10</f>
        <v>Barbecho Quimico</v>
      </c>
      <c r="I39" s="3" t="str">
        <f>+A12</f>
        <v>Pulverizacion Post-emergente</v>
      </c>
      <c r="J39" s="3" t="s">
        <v>249</v>
      </c>
    </row>
    <row r="40" spans="1:10" s="3" customFormat="1" ht="13.8" x14ac:dyDescent="0.3">
      <c r="A40" s="30" t="s">
        <v>127</v>
      </c>
      <c r="B40" s="164">
        <v>2</v>
      </c>
      <c r="C40" s="18" t="s">
        <v>283</v>
      </c>
      <c r="D40" s="117">
        <f>+Cotizaciones!I43</f>
        <v>4.5</v>
      </c>
      <c r="E40" s="117">
        <f t="shared" si="1"/>
        <v>9</v>
      </c>
      <c r="G40" s="3" t="str">
        <f>+A10</f>
        <v>Barbecho Quimico</v>
      </c>
      <c r="J40" s="3" t="s">
        <v>261</v>
      </c>
    </row>
    <row r="41" spans="1:10" s="3" customFormat="1" ht="13.8" x14ac:dyDescent="0.3">
      <c r="A41" s="212" t="s">
        <v>7</v>
      </c>
      <c r="B41" s="171">
        <v>1.2</v>
      </c>
      <c r="C41" s="18" t="s">
        <v>283</v>
      </c>
      <c r="D41" s="117">
        <f>Cotizaciones!I5</f>
        <v>4.5999999999999996</v>
      </c>
      <c r="E41" s="117">
        <f t="shared" si="1"/>
        <v>5.52</v>
      </c>
      <c r="G41" s="3" t="str">
        <f>+G40</f>
        <v>Barbecho Quimico</v>
      </c>
      <c r="J41" s="3" t="s">
        <v>261</v>
      </c>
    </row>
    <row r="42" spans="1:10" s="3" customFormat="1" ht="13.8" x14ac:dyDescent="0.3">
      <c r="A42" s="212" t="s">
        <v>84</v>
      </c>
      <c r="B42" s="171">
        <v>0</v>
      </c>
      <c r="C42" s="18" t="s">
        <v>283</v>
      </c>
      <c r="D42" s="117">
        <f>Cotizaciones!I36</f>
        <v>7</v>
      </c>
      <c r="E42" s="117">
        <f t="shared" si="1"/>
        <v>0</v>
      </c>
      <c r="J42" s="536" t="s">
        <v>261</v>
      </c>
    </row>
    <row r="43" spans="1:10" s="3" customFormat="1" ht="13.8" x14ac:dyDescent="0.3">
      <c r="A43" s="212" t="s">
        <v>534</v>
      </c>
      <c r="B43" s="171">
        <v>0.5</v>
      </c>
      <c r="C43" s="18" t="s">
        <v>283</v>
      </c>
      <c r="D43" s="117">
        <v>47</v>
      </c>
      <c r="E43" s="117">
        <f t="shared" si="1"/>
        <v>23.5</v>
      </c>
      <c r="G43" s="3" t="str">
        <f>+A13</f>
        <v>Pulverización graminicidas</v>
      </c>
      <c r="J43" s="3" t="s">
        <v>268</v>
      </c>
    </row>
    <row r="44" spans="1:10" s="3" customFormat="1" ht="13.8" x14ac:dyDescent="0.3">
      <c r="A44" s="212" t="s">
        <v>132</v>
      </c>
      <c r="B44" s="171">
        <v>1.3</v>
      </c>
      <c r="C44" s="18" t="s">
        <v>283</v>
      </c>
      <c r="D44" s="117">
        <f>Cotizaciones!I26</f>
        <v>28</v>
      </c>
      <c r="E44" s="146">
        <f>D44*B44</f>
        <v>36.4</v>
      </c>
      <c r="G44" s="3" t="str">
        <f>+A15</f>
        <v>Aplicación terrestre Fungicida/Insecticida</v>
      </c>
      <c r="J44" s="3" t="s">
        <v>261</v>
      </c>
    </row>
    <row r="45" spans="1:10" s="3" customFormat="1" ht="13.8" x14ac:dyDescent="0.3">
      <c r="A45" s="212" t="s">
        <v>134</v>
      </c>
      <c r="B45" s="171">
        <v>0.05</v>
      </c>
      <c r="C45" s="18" t="s">
        <v>368</v>
      </c>
      <c r="D45" s="117">
        <f>Cotizaciones!I37</f>
        <v>35</v>
      </c>
      <c r="E45" s="117">
        <f>B45*D45</f>
        <v>1.75</v>
      </c>
      <c r="G45" s="3" t="str">
        <f>+G39</f>
        <v>Barbecho Quimico</v>
      </c>
      <c r="J45" s="3" t="s">
        <v>249</v>
      </c>
    </row>
    <row r="46" spans="1:10" s="3" customFormat="1" ht="13.8" x14ac:dyDescent="0.3">
      <c r="A46" s="212" t="s">
        <v>286</v>
      </c>
      <c r="B46" s="171">
        <v>1</v>
      </c>
      <c r="C46" s="18" t="s">
        <v>368</v>
      </c>
      <c r="D46" s="117">
        <f>+Cotizaciones!I24</f>
        <v>11.8</v>
      </c>
      <c r="E46" s="117">
        <f>B46*D46</f>
        <v>11.8</v>
      </c>
      <c r="J46" s="536" t="s">
        <v>261</v>
      </c>
    </row>
    <row r="47" spans="1:10" s="3" customFormat="1" ht="13.8" x14ac:dyDescent="0.3">
      <c r="A47" s="212" t="s">
        <v>369</v>
      </c>
      <c r="B47" s="171">
        <v>1</v>
      </c>
      <c r="C47" s="18" t="s">
        <v>283</v>
      </c>
      <c r="D47" s="117">
        <f>+Cotizaciones!I27</f>
        <v>6</v>
      </c>
      <c r="E47" s="117">
        <f>B47*D47</f>
        <v>6</v>
      </c>
      <c r="G47" s="3" t="str">
        <f>+I39</f>
        <v>Pulverizacion Post-emergente</v>
      </c>
      <c r="J47" s="3" t="s">
        <v>268</v>
      </c>
    </row>
    <row r="48" spans="1:10" s="3" customFormat="1" ht="13.8" x14ac:dyDescent="0.3">
      <c r="A48" s="212" t="s">
        <v>112</v>
      </c>
      <c r="B48" s="171">
        <v>0.08</v>
      </c>
      <c r="C48" s="18" t="s">
        <v>283</v>
      </c>
      <c r="D48" s="117">
        <f>+Cotizaciones!I46</f>
        <v>80</v>
      </c>
      <c r="E48" s="117">
        <f>B48*D48</f>
        <v>6.4</v>
      </c>
    </row>
    <row r="49" spans="1:13" s="3" customFormat="1" ht="13.8" x14ac:dyDescent="0.3">
      <c r="A49" s="212" t="s">
        <v>76</v>
      </c>
      <c r="B49" s="171">
        <v>0</v>
      </c>
      <c r="C49" s="18" t="s">
        <v>283</v>
      </c>
      <c r="D49" s="117">
        <f>+Cotizaciones!I32</f>
        <v>11</v>
      </c>
      <c r="E49" s="117">
        <f>B49*D49</f>
        <v>0</v>
      </c>
      <c r="G49" s="3" t="str">
        <f>+G44</f>
        <v>Aplicación terrestre Fungicida/Insecticida</v>
      </c>
      <c r="J49" s="3" t="s">
        <v>256</v>
      </c>
    </row>
    <row r="50" spans="1:13" s="3" customFormat="1" ht="13.8" x14ac:dyDescent="0.3">
      <c r="A50" s="212"/>
      <c r="B50" s="18"/>
      <c r="C50" s="667" t="s">
        <v>288</v>
      </c>
      <c r="D50" s="667"/>
      <c r="E50" s="176">
        <f>SUM(E38:E49)</f>
        <v>115.17</v>
      </c>
      <c r="F50" s="22">
        <f>E50/E60</f>
        <v>0.11216728186448767</v>
      </c>
      <c r="G50" s="32">
        <f>+E50*B3</f>
        <v>0</v>
      </c>
    </row>
    <row r="51" spans="1:13" s="3" customFormat="1" ht="13.8" x14ac:dyDescent="0.3">
      <c r="A51" s="212"/>
      <c r="B51" s="87"/>
      <c r="C51" s="18"/>
      <c r="D51" s="28"/>
      <c r="E51" s="29"/>
    </row>
    <row r="52" spans="1:13" s="3" customFormat="1" ht="13.8" x14ac:dyDescent="0.3">
      <c r="A52" s="208" t="s">
        <v>289</v>
      </c>
      <c r="B52" s="214">
        <v>1</v>
      </c>
      <c r="C52" s="12" t="s">
        <v>290</v>
      </c>
      <c r="D52" s="254">
        <v>85</v>
      </c>
      <c r="E52" s="174">
        <f>+D52*B52</f>
        <v>85</v>
      </c>
      <c r="F52" s="15"/>
    </row>
    <row r="53" spans="1:13" s="3" customFormat="1" ht="13.8" x14ac:dyDescent="0.3">
      <c r="A53" s="213"/>
      <c r="B53" s="180"/>
      <c r="C53" s="667" t="s">
        <v>291</v>
      </c>
      <c r="D53" s="667"/>
      <c r="E53" s="176">
        <f>E52</f>
        <v>85</v>
      </c>
      <c r="F53" s="22">
        <f>E53/E60</f>
        <v>8.2783875648879499E-2</v>
      </c>
      <c r="G53" s="535">
        <f>+E53*B3</f>
        <v>0</v>
      </c>
    </row>
    <row r="54" spans="1:13" s="3" customFormat="1" ht="13.8" x14ac:dyDescent="0.3">
      <c r="A54" s="208" t="s">
        <v>292</v>
      </c>
      <c r="B54" s="168">
        <v>2</v>
      </c>
      <c r="C54" s="147" t="s">
        <v>241</v>
      </c>
      <c r="D54" s="148">
        <v>20</v>
      </c>
      <c r="E54" s="65">
        <f>D54</f>
        <v>20</v>
      </c>
      <c r="F54" s="15"/>
    </row>
    <row r="55" spans="1:13" s="3" customFormat="1" ht="13.8" x14ac:dyDescent="0.3">
      <c r="A55" s="213"/>
      <c r="B55" s="180"/>
      <c r="C55" s="667" t="s">
        <v>293</v>
      </c>
      <c r="D55" s="667"/>
      <c r="E55" s="176">
        <f>+E54</f>
        <v>20</v>
      </c>
      <c r="F55" s="22">
        <f>E55/E60</f>
        <v>1.9478558976206942E-2</v>
      </c>
      <c r="G55" s="3">
        <f>+E55*B3</f>
        <v>0</v>
      </c>
    </row>
    <row r="56" spans="1:13" s="3" customFormat="1" ht="13.8" x14ac:dyDescent="0.3">
      <c r="A56" s="213"/>
      <c r="B56" s="180"/>
      <c r="C56" s="7"/>
      <c r="D56" s="7"/>
      <c r="E56" s="38"/>
    </row>
    <row r="57" spans="1:13" s="3" customFormat="1" ht="13.8" x14ac:dyDescent="0.3">
      <c r="A57" s="208" t="s">
        <v>294</v>
      </c>
      <c r="B57" s="214">
        <v>0</v>
      </c>
      <c r="C57" s="12" t="s">
        <v>295</v>
      </c>
      <c r="D57" s="218">
        <v>0</v>
      </c>
      <c r="E57" s="175">
        <v>0</v>
      </c>
      <c r="F57" s="15"/>
    </row>
    <row r="58" spans="1:13" s="3" customFormat="1" ht="13.8" x14ac:dyDescent="0.3">
      <c r="A58" s="30"/>
      <c r="B58" s="87"/>
      <c r="C58" s="667" t="s">
        <v>296</v>
      </c>
      <c r="D58" s="667"/>
      <c r="E58" s="176">
        <f>E57</f>
        <v>0</v>
      </c>
      <c r="F58" s="22">
        <f>E58/E60</f>
        <v>0</v>
      </c>
    </row>
    <row r="59" spans="1:13" s="3" customFormat="1" ht="13.8" x14ac:dyDescent="0.3">
      <c r="A59" s="30"/>
      <c r="B59" s="87"/>
      <c r="C59" s="7"/>
      <c r="D59" s="7"/>
      <c r="E59" s="38"/>
    </row>
    <row r="60" spans="1:13" s="3" customFormat="1" ht="13.8" x14ac:dyDescent="0.3">
      <c r="A60" s="72"/>
      <c r="B60" s="73"/>
      <c r="C60" s="759" t="s">
        <v>317</v>
      </c>
      <c r="D60" s="759"/>
      <c r="E60" s="220">
        <f>E20+E24+E27+E30+E36+E50+E53+E55+E58</f>
        <v>1026.77</v>
      </c>
      <c r="F60" s="75">
        <f>F58+F55+F70+F53+F50+F36+F30+F27+F24+F20</f>
        <v>1</v>
      </c>
      <c r="G60" s="18">
        <f>+E60*B3</f>
        <v>0</v>
      </c>
    </row>
    <row r="61" spans="1:13" s="3" customFormat="1" ht="13.8" x14ac:dyDescent="0.3">
      <c r="A61" s="208" t="s">
        <v>300</v>
      </c>
      <c r="B61" s="214"/>
      <c r="C61" s="12"/>
      <c r="D61" s="24"/>
      <c r="E61" s="25"/>
      <c r="F61" s="15"/>
    </row>
    <row r="62" spans="1:13" s="3" customFormat="1" ht="13.8" x14ac:dyDescent="0.3">
      <c r="A62" s="35" t="s">
        <v>301</v>
      </c>
      <c r="B62" s="167">
        <v>1.4</v>
      </c>
      <c r="C62" s="18" t="s">
        <v>302</v>
      </c>
      <c r="D62" s="145">
        <f>+Cotizaciones!F24</f>
        <v>3.3</v>
      </c>
      <c r="E62" s="146">
        <f>D62*B62*B75</f>
        <v>26.333999999999996</v>
      </c>
      <c r="I62" s="661" t="s">
        <v>533</v>
      </c>
      <c r="J62" s="661" t="s">
        <v>199</v>
      </c>
      <c r="K62" s="660" t="s">
        <v>299</v>
      </c>
      <c r="L62" s="660" t="s">
        <v>199</v>
      </c>
      <c r="M62" s="3" t="s">
        <v>370</v>
      </c>
    </row>
    <row r="63" spans="1:13" s="3" customFormat="1" ht="13.8" x14ac:dyDescent="0.3">
      <c r="A63" s="35" t="s">
        <v>303</v>
      </c>
      <c r="B63" s="167">
        <v>0.7</v>
      </c>
      <c r="C63" s="18" t="s">
        <v>304</v>
      </c>
      <c r="D63" s="145">
        <f>Cotizaciones!I40/180</f>
        <v>2.1111111111111112</v>
      </c>
      <c r="E63" s="146">
        <f>D63*B63*B75</f>
        <v>8.423333333333332</v>
      </c>
      <c r="H63" s="3" t="str">
        <f>+A7</f>
        <v>Labores</v>
      </c>
      <c r="I63" s="639">
        <v>0</v>
      </c>
      <c r="J63" s="642">
        <f>+I63*B$3</f>
        <v>0</v>
      </c>
      <c r="K63" s="639">
        <f>+E20</f>
        <v>133.5</v>
      </c>
      <c r="L63" s="644">
        <f>+K63*B$3</f>
        <v>0</v>
      </c>
      <c r="M63" s="639">
        <f t="shared" ref="M63:M68" si="2">+K63+I63</f>
        <v>133.5</v>
      </c>
    </row>
    <row r="64" spans="1:13" s="3" customFormat="1" ht="13.8" x14ac:dyDescent="0.3">
      <c r="A64" s="213" t="s">
        <v>305</v>
      </c>
      <c r="B64" s="181">
        <v>0</v>
      </c>
      <c r="C64" s="18" t="s">
        <v>371</v>
      </c>
      <c r="D64" s="117">
        <f>Cotizaciones!F28</f>
        <v>3</v>
      </c>
      <c r="E64" s="117">
        <f>+D64*B64*B75</f>
        <v>0</v>
      </c>
      <c r="H64" s="3" t="str">
        <f>+A21</f>
        <v>Semilla</v>
      </c>
      <c r="I64" s="640">
        <f>+E24</f>
        <v>78.400000000000006</v>
      </c>
      <c r="J64" s="642">
        <f t="shared" ref="J64:J70" si="3">+I64*B$3</f>
        <v>0</v>
      </c>
      <c r="K64" s="639"/>
      <c r="L64" s="644">
        <f t="shared" ref="L64:L70" si="4">+K64*B$3</f>
        <v>0</v>
      </c>
      <c r="M64" s="639">
        <f t="shared" si="2"/>
        <v>78.400000000000006</v>
      </c>
    </row>
    <row r="65" spans="1:13" s="3" customFormat="1" ht="13.8" x14ac:dyDescent="0.3">
      <c r="A65" s="213" t="s">
        <v>306</v>
      </c>
      <c r="B65" s="181">
        <v>0</v>
      </c>
      <c r="C65" s="18" t="s">
        <v>371</v>
      </c>
      <c r="D65" s="117">
        <f>Cotizaciones!F35</f>
        <v>5</v>
      </c>
      <c r="E65" s="117">
        <f>+D65*B65*B75</f>
        <v>0</v>
      </c>
      <c r="H65" s="3" t="str">
        <f>+A26</f>
        <v>Arrendamiento</v>
      </c>
      <c r="I65" s="639">
        <f>+E27</f>
        <v>340.8</v>
      </c>
      <c r="J65" s="642">
        <f t="shared" si="3"/>
        <v>0</v>
      </c>
      <c r="K65" s="639"/>
      <c r="L65" s="644">
        <f t="shared" si="4"/>
        <v>0</v>
      </c>
      <c r="M65" s="639">
        <f t="shared" si="2"/>
        <v>340.8</v>
      </c>
    </row>
    <row r="66" spans="1:13" s="3" customFormat="1" ht="13.8" x14ac:dyDescent="0.3">
      <c r="A66" s="213" t="s">
        <v>83</v>
      </c>
      <c r="B66" s="181">
        <v>0</v>
      </c>
      <c r="C66" s="18" t="s">
        <v>371</v>
      </c>
      <c r="D66" s="117">
        <f>+Cotizaciones!F36</f>
        <v>6.5</v>
      </c>
      <c r="E66" s="117">
        <f>+D66*B66*B75</f>
        <v>0</v>
      </c>
      <c r="H66" s="3" t="str">
        <f>+A29</f>
        <v>Gerenciamiento</v>
      </c>
      <c r="I66" s="640">
        <f>+B29</f>
        <v>30</v>
      </c>
      <c r="J66" s="642">
        <f t="shared" si="3"/>
        <v>0</v>
      </c>
      <c r="K66" s="639">
        <v>0</v>
      </c>
      <c r="L66" s="644">
        <f t="shared" si="4"/>
        <v>0</v>
      </c>
      <c r="M66" s="639">
        <f t="shared" si="2"/>
        <v>30</v>
      </c>
    </row>
    <row r="67" spans="1:13" s="3" customFormat="1" ht="13.8" x14ac:dyDescent="0.3">
      <c r="A67" s="213" t="s">
        <v>307</v>
      </c>
      <c r="B67" s="181">
        <v>1</v>
      </c>
      <c r="C67" s="18" t="s">
        <v>371</v>
      </c>
      <c r="D67" s="117">
        <f>+Cotizaciones!E5/Cotizaciones!M16</f>
        <v>0.55913978494623651</v>
      </c>
      <c r="E67" s="117">
        <f>+D67*B67*$B$75</f>
        <v>3.1870967741935483</v>
      </c>
      <c r="H67" s="3" t="str">
        <f>+A32</f>
        <v>Fertilizantes</v>
      </c>
      <c r="I67" s="640">
        <f>+E36</f>
        <v>223.89999999999998</v>
      </c>
      <c r="J67" s="642">
        <f t="shared" si="3"/>
        <v>0</v>
      </c>
      <c r="K67" s="639"/>
      <c r="L67" s="644">
        <f t="shared" si="4"/>
        <v>0</v>
      </c>
      <c r="M67" s="639">
        <f t="shared" si="2"/>
        <v>223.89999999999998</v>
      </c>
    </row>
    <row r="68" spans="1:13" s="3" customFormat="1" ht="13.8" x14ac:dyDescent="0.3">
      <c r="A68" s="213" t="s">
        <v>308</v>
      </c>
      <c r="B68" s="181">
        <v>1</v>
      </c>
      <c r="C68" s="18" t="s">
        <v>371</v>
      </c>
      <c r="D68" s="522">
        <f>+'Cebada SP'!D71</f>
        <v>20</v>
      </c>
      <c r="E68" s="117">
        <f>B68*D68*B75</f>
        <v>114</v>
      </c>
      <c r="H68" s="3" t="str">
        <f>+A37</f>
        <v>Agroquímicos</v>
      </c>
      <c r="I68" s="639"/>
      <c r="J68" s="642">
        <f t="shared" si="3"/>
        <v>0</v>
      </c>
      <c r="K68" s="640">
        <f>+E50</f>
        <v>115.17</v>
      </c>
      <c r="L68" s="644">
        <f t="shared" si="4"/>
        <v>0</v>
      </c>
      <c r="M68" s="639">
        <f t="shared" si="2"/>
        <v>115.17</v>
      </c>
    </row>
    <row r="69" spans="1:13" s="3" customFormat="1" ht="13.8" x14ac:dyDescent="0.3">
      <c r="A69" s="213" t="s">
        <v>309</v>
      </c>
      <c r="B69" s="181">
        <v>1</v>
      </c>
      <c r="C69" s="18" t="s">
        <v>295</v>
      </c>
      <c r="D69" s="146">
        <f>B69%*B75*Cotizaciones!B15</f>
        <v>13.110000000000001</v>
      </c>
      <c r="E69" s="117">
        <f>B75*Cotizaciones!B15*B69%</f>
        <v>13.11</v>
      </c>
      <c r="I69" s="639"/>
      <c r="J69" s="642">
        <f t="shared" si="3"/>
        <v>0</v>
      </c>
      <c r="K69" s="640"/>
      <c r="L69" s="644">
        <f t="shared" si="4"/>
        <v>0</v>
      </c>
      <c r="M69" s="639"/>
    </row>
    <row r="70" spans="1:13" s="3" customFormat="1" ht="13.8" x14ac:dyDescent="0.3">
      <c r="A70" s="213"/>
      <c r="B70" s="215"/>
      <c r="C70" s="667" t="s">
        <v>310</v>
      </c>
      <c r="D70" s="667"/>
      <c r="E70" s="176">
        <f>SUM(E62:E69)</f>
        <v>165.05443010752685</v>
      </c>
      <c r="F70" s="22"/>
      <c r="G70" s="535">
        <f>+E70*B3</f>
        <v>0</v>
      </c>
      <c r="H70" s="3" t="s">
        <v>199</v>
      </c>
      <c r="I70" s="640">
        <f>SUM(I63:I69)</f>
        <v>673.1</v>
      </c>
      <c r="J70" s="642">
        <f t="shared" si="3"/>
        <v>0</v>
      </c>
      <c r="K70" s="639">
        <f>SUM(K63:K68)</f>
        <v>248.67000000000002</v>
      </c>
      <c r="L70" s="644">
        <f t="shared" si="4"/>
        <v>0</v>
      </c>
      <c r="M70" s="639">
        <f>+K70+I70</f>
        <v>921.77</v>
      </c>
    </row>
    <row r="71" spans="1:13" s="3" customFormat="1" ht="13.8" x14ac:dyDescent="0.3">
      <c r="A71" s="213" t="s">
        <v>356</v>
      </c>
      <c r="B71" s="27"/>
      <c r="C71" s="566"/>
      <c r="D71" s="566"/>
      <c r="E71" s="227">
        <f>+Cotizaciones!B15</f>
        <v>230</v>
      </c>
      <c r="F71" s="567"/>
      <c r="H71" s="591"/>
      <c r="I71" s="646">
        <f>+I70/M70</f>
        <v>0.73022554433318509</v>
      </c>
      <c r="J71" s="647"/>
      <c r="K71" s="646">
        <f>+K70/M70</f>
        <v>0.26977445566681496</v>
      </c>
      <c r="L71" s="648"/>
      <c r="M71" s="92"/>
    </row>
    <row r="72" spans="1:13" s="3" customFormat="1" ht="13.8" x14ac:dyDescent="0.3">
      <c r="A72" s="213" t="s">
        <v>311</v>
      </c>
      <c r="B72" s="30"/>
      <c r="C72" s="18"/>
      <c r="D72" s="28"/>
      <c r="E72" s="227">
        <f>+E70/B75</f>
        <v>28.956917562724009</v>
      </c>
      <c r="F72" s="22">
        <f>+E72/E71</f>
        <v>0.12589964157706091</v>
      </c>
      <c r="I72" s="592"/>
    </row>
    <row r="73" spans="1:13" s="3" customFormat="1" thickBot="1" x14ac:dyDescent="0.35">
      <c r="A73" s="213" t="s">
        <v>312</v>
      </c>
      <c r="D73" s="28"/>
      <c r="E73" s="227">
        <f>+E71-E72</f>
        <v>201.04308243727598</v>
      </c>
      <c r="I73" s="592"/>
      <c r="J73" s="592"/>
      <c r="K73" s="592"/>
    </row>
    <row r="74" spans="1:13" s="3" customFormat="1" thickBot="1" x14ac:dyDescent="0.35">
      <c r="A74" s="727" t="s">
        <v>313</v>
      </c>
      <c r="B74" s="728"/>
      <c r="C74" s="729"/>
      <c r="D74" s="28"/>
      <c r="E74" s="39"/>
      <c r="I74" s="592"/>
      <c r="J74" s="582"/>
      <c r="K74" s="582"/>
    </row>
    <row r="75" spans="1:13" s="3" customFormat="1" ht="13.8" x14ac:dyDescent="0.3">
      <c r="A75" s="193" t="s">
        <v>372</v>
      </c>
      <c r="B75" s="568">
        <v>5.7</v>
      </c>
      <c r="C75" s="194" t="s">
        <v>316</v>
      </c>
      <c r="D75" s="18"/>
      <c r="E75" s="18"/>
      <c r="F75" s="18"/>
      <c r="G75" s="593"/>
      <c r="I75" s="592"/>
    </row>
    <row r="76" spans="1:13" s="3" customFormat="1" ht="13.8" x14ac:dyDescent="0.3">
      <c r="A76" s="190" t="s">
        <v>312</v>
      </c>
      <c r="B76" s="528">
        <f>+E73</f>
        <v>201.04308243727598</v>
      </c>
      <c r="C76" s="196" t="s">
        <v>21</v>
      </c>
      <c r="D76" s="117"/>
      <c r="E76" s="117"/>
      <c r="F76" s="567"/>
      <c r="G76" s="593"/>
      <c r="I76" s="594"/>
    </row>
    <row r="77" spans="1:13" s="3" customFormat="1" thickBot="1" x14ac:dyDescent="0.35">
      <c r="A77" s="191" t="s">
        <v>317</v>
      </c>
      <c r="B77" s="195">
        <f>E60</f>
        <v>1026.77</v>
      </c>
      <c r="C77" s="197" t="s">
        <v>318</v>
      </c>
      <c r="D77" s="18"/>
      <c r="E77" s="18"/>
      <c r="F77" s="18"/>
      <c r="G77" s="436"/>
      <c r="H77" s="593"/>
      <c r="I77" s="593"/>
    </row>
    <row r="78" spans="1:13" s="3" customFormat="1" ht="13.8" x14ac:dyDescent="0.3">
      <c r="A78" s="191" t="s">
        <v>320</v>
      </c>
      <c r="B78" s="195">
        <f>+B77/B75</f>
        <v>180.13508771929824</v>
      </c>
      <c r="C78" s="197"/>
      <c r="D78" s="88"/>
      <c r="E78" s="145"/>
      <c r="F78" s="733" t="s">
        <v>528</v>
      </c>
      <c r="G78" s="733"/>
      <c r="H78" s="734"/>
      <c r="I78" s="434"/>
    </row>
    <row r="79" spans="1:13" s="3" customFormat="1" thickBot="1" x14ac:dyDescent="0.35">
      <c r="A79" s="190" t="s">
        <v>373</v>
      </c>
      <c r="B79" s="195">
        <f>+B76*B75*0.98</f>
        <v>1123.0266584946237</v>
      </c>
      <c r="C79" s="196" t="s">
        <v>318</v>
      </c>
      <c r="D79" s="28"/>
      <c r="E79" s="30"/>
      <c r="F79" s="735"/>
      <c r="G79" s="735"/>
      <c r="H79" s="736"/>
      <c r="I79" s="217"/>
    </row>
    <row r="80" spans="1:13" s="3" customFormat="1" ht="13.8" x14ac:dyDescent="0.3">
      <c r="A80" s="191" t="s">
        <v>321</v>
      </c>
      <c r="B80" s="244">
        <f>+B79-B77</f>
        <v>96.256658494623707</v>
      </c>
      <c r="C80" s="197" t="s">
        <v>318</v>
      </c>
      <c r="D80" s="28"/>
      <c r="E80" s="30"/>
      <c r="F80" s="569" t="s">
        <v>317</v>
      </c>
      <c r="G80" s="145">
        <f>+'Soja 2da. C'!B76+B77</f>
        <v>1425.77</v>
      </c>
      <c r="H80" s="153" t="s">
        <v>318</v>
      </c>
      <c r="I80" s="434"/>
    </row>
    <row r="81" spans="1:11" s="3" customFormat="1" ht="13.8" x14ac:dyDescent="0.3">
      <c r="A81" s="191" t="s">
        <v>325</v>
      </c>
      <c r="B81" s="273">
        <f>B80/B77</f>
        <v>9.3747049967006932E-2</v>
      </c>
      <c r="C81" s="197"/>
      <c r="D81" s="28"/>
      <c r="E81" s="30"/>
      <c r="F81" s="570" t="s">
        <v>160</v>
      </c>
      <c r="G81" s="145">
        <f>+B79+'Soja 2da. T'!B76</f>
        <v>1537.3615733508373</v>
      </c>
      <c r="H81" s="152" t="s">
        <v>318</v>
      </c>
      <c r="I81" s="434"/>
    </row>
    <row r="82" spans="1:11" s="3" customFormat="1" ht="13.8" x14ac:dyDescent="0.3">
      <c r="A82" s="190" t="s">
        <v>326</v>
      </c>
      <c r="B82" s="234">
        <f>+B77/E73</f>
        <v>5.107213775039213</v>
      </c>
      <c r="C82" s="197"/>
      <c r="D82" s="28">
        <f>+B82*B76</f>
        <v>1026.77</v>
      </c>
      <c r="E82" s="30"/>
      <c r="F82" s="571" t="s">
        <v>321</v>
      </c>
      <c r="G82" s="139">
        <f>G81-G80</f>
        <v>111.59157335083728</v>
      </c>
      <c r="H82" s="153" t="s">
        <v>318</v>
      </c>
      <c r="I82" s="434"/>
    </row>
    <row r="83" spans="1:11" s="3" customFormat="1" ht="13.8" x14ac:dyDescent="0.3">
      <c r="A83" s="191" t="s">
        <v>164</v>
      </c>
      <c r="B83" s="244">
        <f>+E20+E24+E27+E30+E36+E50</f>
        <v>921.77</v>
      </c>
      <c r="C83" s="197" t="s">
        <v>318</v>
      </c>
      <c r="D83" s="573"/>
      <c r="E83" s="30"/>
      <c r="F83" s="571" t="s">
        <v>167</v>
      </c>
      <c r="G83" s="156">
        <f>G82/G80</f>
        <v>7.8267584077962984E-2</v>
      </c>
      <c r="H83" s="153"/>
      <c r="I83" s="434"/>
    </row>
    <row r="84" spans="1:11" s="3" customFormat="1" thickBot="1" x14ac:dyDescent="0.35">
      <c r="A84" s="192" t="s">
        <v>327</v>
      </c>
      <c r="B84" s="274">
        <f>B80/B83</f>
        <v>0.10442589636744927</v>
      </c>
      <c r="C84" s="199">
        <f>+B82/B75</f>
        <v>0.89600241667354608</v>
      </c>
      <c r="D84" s="28"/>
      <c r="E84" s="30"/>
      <c r="F84" s="570"/>
      <c r="G84" s="184"/>
      <c r="H84" s="153"/>
      <c r="I84" s="217"/>
    </row>
    <row r="85" spans="1:11" s="3" customFormat="1" ht="13.8" x14ac:dyDescent="0.3">
      <c r="A85" s="18"/>
      <c r="B85" s="41"/>
      <c r="C85" s="41"/>
      <c r="D85" s="28"/>
      <c r="E85" s="30"/>
      <c r="F85" s="571" t="s">
        <v>164</v>
      </c>
      <c r="G85" s="139">
        <f>+B83+'Soja 2da. T'!B80</f>
        <v>1218.42</v>
      </c>
      <c r="H85" s="153" t="s">
        <v>318</v>
      </c>
    </row>
    <row r="86" spans="1:11" s="3" customFormat="1" thickBot="1" x14ac:dyDescent="0.35">
      <c r="A86" s="668" t="s">
        <v>317</v>
      </c>
      <c r="B86" s="668"/>
      <c r="C86" s="42">
        <f>E60</f>
        <v>1026.77</v>
      </c>
      <c r="F86" s="572" t="s">
        <v>327</v>
      </c>
      <c r="G86" s="155">
        <f>G82/G85</f>
        <v>9.158711556838961E-2</v>
      </c>
      <c r="H86" s="154"/>
    </row>
    <row r="87" spans="1:11" s="3" customFormat="1" ht="13.8" x14ac:dyDescent="0.3">
      <c r="A87" s="480" t="s">
        <v>374</v>
      </c>
      <c r="B87" s="480"/>
      <c r="C87" s="480"/>
      <c r="D87" s="480"/>
      <c r="E87" s="480"/>
      <c r="F87" s="480"/>
      <c r="G87" s="480"/>
      <c r="H87" s="480"/>
      <c r="I87" s="76"/>
      <c r="J87" s="76"/>
      <c r="K87" s="76"/>
    </row>
    <row r="88" spans="1:11" s="3" customFormat="1" ht="13.8" x14ac:dyDescent="0.3">
      <c r="A88" s="43" t="s">
        <v>332</v>
      </c>
      <c r="B88" s="44">
        <f>E88-1.5</f>
        <v>4.2</v>
      </c>
      <c r="C88" s="44">
        <f>E88-1</f>
        <v>4.7</v>
      </c>
      <c r="D88" s="44">
        <f>E88-0.5</f>
        <v>5.2</v>
      </c>
      <c r="E88" s="45">
        <f>B75</f>
        <v>5.7</v>
      </c>
      <c r="F88" s="44">
        <f>E88+0.5</f>
        <v>6.2</v>
      </c>
      <c r="G88" s="44">
        <f>E88+0.8</f>
        <v>6.5</v>
      </c>
      <c r="H88" s="46">
        <f>E88+1.2</f>
        <v>6.9</v>
      </c>
    </row>
    <row r="89" spans="1:11" s="3" customFormat="1" ht="13.8" x14ac:dyDescent="0.3">
      <c r="A89" s="47">
        <f>A90-10</f>
        <v>171.04308243727598</v>
      </c>
      <c r="B89" s="48">
        <f>B98/C86*100</f>
        <v>-30.03487185673918</v>
      </c>
      <c r="C89" s="48">
        <f>C98/C86*100</f>
        <v>-21.705689934922408</v>
      </c>
      <c r="D89" s="48">
        <f>D98/C86*100</f>
        <v>-13.376508013105651</v>
      </c>
      <c r="E89" s="49">
        <f>E98/C86*100</f>
        <v>-5.0473260912888804</v>
      </c>
      <c r="F89" s="48">
        <f>F98/C86*100</f>
        <v>3.2818558305278787</v>
      </c>
      <c r="G89" s="48">
        <f>G98/C86*100</f>
        <v>8.2793649836179455</v>
      </c>
      <c r="H89" s="50">
        <f>H98/C86*100</f>
        <v>14.942710521071353</v>
      </c>
    </row>
    <row r="90" spans="1:11" s="3" customFormat="1" ht="13.8" x14ac:dyDescent="0.3">
      <c r="A90" s="47">
        <f>A91-10</f>
        <v>181.04308243727598</v>
      </c>
      <c r="B90" s="48">
        <f>B99/C86*100</f>
        <v>-25.944374471735721</v>
      </c>
      <c r="C90" s="48">
        <f>C99/C86*100</f>
        <v>-17.128228575513781</v>
      </c>
      <c r="D90" s="48">
        <f>D99/C86*100</f>
        <v>-8.3120826792918461</v>
      </c>
      <c r="E90" s="49">
        <f>E99/C86*100</f>
        <v>0.5040632169300866</v>
      </c>
      <c r="F90" s="48">
        <f>F99/C86*100</f>
        <v>9.3202091131520302</v>
      </c>
      <c r="G90" s="48">
        <f>G99/C86*100</f>
        <v>14.609896650885201</v>
      </c>
      <c r="H90" s="50">
        <f>H99/C86*100</f>
        <v>21.662813367862746</v>
      </c>
    </row>
    <row r="91" spans="1:11" s="3" customFormat="1" ht="13.8" x14ac:dyDescent="0.3">
      <c r="A91" s="47">
        <f>A92-10</f>
        <v>191.04308243727598</v>
      </c>
      <c r="B91" s="48">
        <f>B100/C86*100</f>
        <v>-21.853877086732265</v>
      </c>
      <c r="C91" s="48">
        <f>C100/C86*100</f>
        <v>-12.550767216105147</v>
      </c>
      <c r="D91" s="48">
        <f>D100/C86*100</f>
        <v>-3.2476573454780415</v>
      </c>
      <c r="E91" s="49">
        <f>E100/C86*100</f>
        <v>6.0554525251490645</v>
      </c>
      <c r="F91" s="48">
        <f>F100/C86*100</f>
        <v>15.358562395776183</v>
      </c>
      <c r="G91" s="48">
        <f>G100/C86*100</f>
        <v>20.940428318152456</v>
      </c>
      <c r="H91" s="50">
        <f>H100/C86*100</f>
        <v>28.382916214654141</v>
      </c>
    </row>
    <row r="92" spans="1:11" s="3" customFormat="1" ht="13.8" x14ac:dyDescent="0.3">
      <c r="A92" s="51">
        <f>B76</f>
        <v>201.04308243727598</v>
      </c>
      <c r="B92" s="52">
        <f>B101/C86*100</f>
        <v>-17.763379701728795</v>
      </c>
      <c r="C92" s="53">
        <f>C101/C86*100</f>
        <v>-7.9733058566965163</v>
      </c>
      <c r="D92" s="53">
        <f>D101/C86*100</f>
        <v>1.8167679883357741</v>
      </c>
      <c r="E92" s="54">
        <f>E101/C86*100</f>
        <v>11.606841833368065</v>
      </c>
      <c r="F92" s="53">
        <f>F101/C86*100</f>
        <v>21.396915678400333</v>
      </c>
      <c r="G92" s="53">
        <f>G101/C86*100</f>
        <v>27.270959985419712</v>
      </c>
      <c r="H92" s="55">
        <f>H101/C86*100</f>
        <v>35.103019061445536</v>
      </c>
    </row>
    <row r="93" spans="1:11" s="3" customFormat="1" ht="13.8" x14ac:dyDescent="0.3">
      <c r="A93" s="47">
        <f>A92+10</f>
        <v>211.04308243727598</v>
      </c>
      <c r="B93" s="56">
        <f>B102/C86*100</f>
        <v>-13.672882316725337</v>
      </c>
      <c r="C93" s="56">
        <f>C102/C86*100</f>
        <v>-3.3958444972878858</v>
      </c>
      <c r="D93" s="56">
        <f>D102/C86*100</f>
        <v>6.8811933221495787</v>
      </c>
      <c r="E93" s="57">
        <f>E102/C86*100</f>
        <v>17.158231141587045</v>
      </c>
      <c r="F93" s="56">
        <f>F102/C86*100</f>
        <v>27.435268961024484</v>
      </c>
      <c r="G93" s="56">
        <f>G102/C86*100</f>
        <v>33.601491652686967</v>
      </c>
      <c r="H93" s="58">
        <f>H102/C86*100</f>
        <v>41.823121908236935</v>
      </c>
    </row>
    <row r="94" spans="1:11" s="3" customFormat="1" ht="13.8" x14ac:dyDescent="0.3">
      <c r="A94" s="47">
        <f>A93+10</f>
        <v>221.04308243727598</v>
      </c>
      <c r="B94" s="56">
        <f>B103/C86*100</f>
        <v>-9.5823849317218812</v>
      </c>
      <c r="C94" s="56">
        <f>C103/C86*100</f>
        <v>1.1816168621207455</v>
      </c>
      <c r="D94" s="56">
        <f>D103/C86*100</f>
        <v>11.945618655963383</v>
      </c>
      <c r="E94" s="57">
        <f>E103/C86*100</f>
        <v>22.709620449806021</v>
      </c>
      <c r="F94" s="56">
        <f>F103/C86*100</f>
        <v>33.473622243648634</v>
      </c>
      <c r="G94" s="56">
        <f>G103/C86*100</f>
        <v>39.932023319954226</v>
      </c>
      <c r="H94" s="58">
        <f>H103/C86*100</f>
        <v>48.543224755028326</v>
      </c>
    </row>
    <row r="95" spans="1:11" s="3" customFormat="1" ht="13.8" x14ac:dyDescent="0.3">
      <c r="A95" s="47">
        <f>A94+10</f>
        <v>231.04308243727598</v>
      </c>
      <c r="B95" s="56">
        <f>B104/C86*100</f>
        <v>-5.4918875467184236</v>
      </c>
      <c r="C95" s="56">
        <f>C104/C86*100</f>
        <v>5.7590782215293768</v>
      </c>
      <c r="D95" s="56">
        <f>D104/C86*100</f>
        <v>17.010043989777188</v>
      </c>
      <c r="E95" s="57">
        <f>E104/C86*100</f>
        <v>28.261009758024997</v>
      </c>
      <c r="F95" s="56">
        <f>F104/C86*100</f>
        <v>39.511975526272785</v>
      </c>
      <c r="G95" s="56">
        <f>G104/C86*100</f>
        <v>46.262554987221478</v>
      </c>
      <c r="H95" s="58">
        <f>H104/C86*100</f>
        <v>55.263327601819725</v>
      </c>
    </row>
    <row r="96" spans="1:11" s="3" customFormat="1" ht="13.8" x14ac:dyDescent="0.3">
      <c r="A96" s="481" t="s">
        <v>375</v>
      </c>
      <c r="B96" s="481"/>
      <c r="C96" s="481"/>
      <c r="D96" s="481"/>
      <c r="E96" s="481"/>
      <c r="F96" s="481"/>
      <c r="G96" s="481"/>
      <c r="H96" s="481"/>
    </row>
    <row r="97" spans="1:8" s="3" customFormat="1" ht="13.8" x14ac:dyDescent="0.3">
      <c r="A97" s="43" t="s">
        <v>332</v>
      </c>
      <c r="B97" s="44">
        <f>E97-1.5</f>
        <v>4.2</v>
      </c>
      <c r="C97" s="44">
        <f>E97-1</f>
        <v>4.7</v>
      </c>
      <c r="D97" s="44">
        <f>E97-0.5</f>
        <v>5.2</v>
      </c>
      <c r="E97" s="45">
        <f>B75</f>
        <v>5.7</v>
      </c>
      <c r="F97" s="44">
        <f>E97+0.5</f>
        <v>6.2</v>
      </c>
      <c r="G97" s="44">
        <f>E97+0.8</f>
        <v>6.5</v>
      </c>
      <c r="H97" s="46">
        <f>E97+1.2</f>
        <v>6.9</v>
      </c>
    </row>
    <row r="98" spans="1:8" s="3" customFormat="1" ht="13.8" x14ac:dyDescent="0.3">
      <c r="A98" s="47">
        <f>A99-10</f>
        <v>171.04308243727598</v>
      </c>
      <c r="B98" s="48">
        <f>(B97*A98)-C86</f>
        <v>-308.38905376344087</v>
      </c>
      <c r="C98" s="48">
        <f>(C97*A98)-C86</f>
        <v>-222.86751254480282</v>
      </c>
      <c r="D98" s="48">
        <f>(D97*A98)-C86</f>
        <v>-137.34597132616489</v>
      </c>
      <c r="E98" s="49">
        <f>(E97*A98)-C86</f>
        <v>-51.824430107526837</v>
      </c>
      <c r="F98" s="48">
        <f>(F97*A98)-C86</f>
        <v>33.697111111111099</v>
      </c>
      <c r="G98" s="48">
        <f>(G97*A98)-C86</f>
        <v>85.010035842293973</v>
      </c>
      <c r="H98" s="50">
        <f>(H97*A98)-C86</f>
        <v>153.42726881720432</v>
      </c>
    </row>
    <row r="99" spans="1:8" s="3" customFormat="1" ht="13.8" x14ac:dyDescent="0.3">
      <c r="A99" s="47">
        <f>A100-10</f>
        <v>181.04308243727598</v>
      </c>
      <c r="B99" s="48">
        <f>(B97*A99)-C86</f>
        <v>-266.38905376344087</v>
      </c>
      <c r="C99" s="48">
        <f>(C97*A99)-C86</f>
        <v>-175.86751254480282</v>
      </c>
      <c r="D99" s="48">
        <f>(D97*A99)-C86</f>
        <v>-85.345971326164886</v>
      </c>
      <c r="E99" s="49">
        <f>(E97*A99)-C86</f>
        <v>5.1755698924730495</v>
      </c>
      <c r="F99" s="48">
        <f>(F97*A99)-C86</f>
        <v>95.697111111111099</v>
      </c>
      <c r="G99" s="48">
        <f>(G97*A99)-C86</f>
        <v>150.01003584229397</v>
      </c>
      <c r="H99" s="50">
        <f>(H97*A99)-C86</f>
        <v>222.42726881720432</v>
      </c>
    </row>
    <row r="100" spans="1:8" s="3" customFormat="1" ht="13.8" x14ac:dyDescent="0.3">
      <c r="A100" s="47">
        <f>A101-10</f>
        <v>191.04308243727598</v>
      </c>
      <c r="B100" s="48">
        <f>(A100*B97)-C86</f>
        <v>-224.38905376344087</v>
      </c>
      <c r="C100" s="48">
        <f>(C97*A100)-C86</f>
        <v>-128.86751254480282</v>
      </c>
      <c r="D100" s="48">
        <f>(D97*A100)-C86</f>
        <v>-33.345971326164886</v>
      </c>
      <c r="E100" s="49">
        <f>(E97*A100)-C86</f>
        <v>62.17556989247305</v>
      </c>
      <c r="F100" s="48">
        <f>(F97*A100)-C86</f>
        <v>157.6971111111111</v>
      </c>
      <c r="G100" s="48">
        <f>(G97*A100)-C86</f>
        <v>215.01003584229397</v>
      </c>
      <c r="H100" s="50">
        <f>(H97*A100)-C86</f>
        <v>291.42726881720432</v>
      </c>
    </row>
    <row r="101" spans="1:8" s="3" customFormat="1" ht="13.8" x14ac:dyDescent="0.3">
      <c r="A101" s="51">
        <f>B76</f>
        <v>201.04308243727598</v>
      </c>
      <c r="B101" s="53">
        <f>(A101*B97)-C86</f>
        <v>-182.38905376344076</v>
      </c>
      <c r="C101" s="53">
        <f>(A101*C97)-C86</f>
        <v>-81.867512544802821</v>
      </c>
      <c r="D101" s="53">
        <f>(D97*A101)-C86</f>
        <v>18.654028673835228</v>
      </c>
      <c r="E101" s="54">
        <f>(A101*E97)-C86</f>
        <v>119.17556989247328</v>
      </c>
      <c r="F101" s="53">
        <f>(A101*F97)-C86</f>
        <v>219.6971111111111</v>
      </c>
      <c r="G101" s="53">
        <f>(G97*A101)-C86</f>
        <v>280.01003584229397</v>
      </c>
      <c r="H101" s="55">
        <f>(H97*A101)-C86</f>
        <v>360.42726881720432</v>
      </c>
    </row>
    <row r="102" spans="1:8" s="3" customFormat="1" ht="13.8" x14ac:dyDescent="0.3">
      <c r="A102" s="47">
        <f>A101+10</f>
        <v>211.04308243727598</v>
      </c>
      <c r="B102" s="56">
        <f>(A102*B97)-C86</f>
        <v>-140.38905376344076</v>
      </c>
      <c r="C102" s="56">
        <f>(C97*A102)-C86</f>
        <v>-34.867512544802821</v>
      </c>
      <c r="D102" s="56">
        <f>(D97*A102)-C86</f>
        <v>70.654028673835228</v>
      </c>
      <c r="E102" s="57">
        <f>(E97*A102)-C86</f>
        <v>176.17556989247328</v>
      </c>
      <c r="F102" s="56">
        <f>(F97*A102)-C86</f>
        <v>281.6971111111111</v>
      </c>
      <c r="G102" s="56">
        <f>(G97*A102)-C86</f>
        <v>345.01003584229397</v>
      </c>
      <c r="H102" s="58">
        <f>(H97*A102)-C86</f>
        <v>429.42726881720432</v>
      </c>
    </row>
    <row r="103" spans="1:8" s="3" customFormat="1" ht="13.8" x14ac:dyDescent="0.3">
      <c r="A103" s="47">
        <f>A102+10</f>
        <v>221.04308243727598</v>
      </c>
      <c r="B103" s="56">
        <f>(A103*B97)-C86</f>
        <v>-98.389053763440756</v>
      </c>
      <c r="C103" s="56">
        <f>(C97*A103)-C86</f>
        <v>12.132487455197179</v>
      </c>
      <c r="D103" s="56">
        <f>(D97*A103)-C86</f>
        <v>122.65402867383523</v>
      </c>
      <c r="E103" s="57">
        <f>(E97*A103)-C86</f>
        <v>233.17556989247328</v>
      </c>
      <c r="F103" s="56">
        <f>(F97*A103)-C86</f>
        <v>343.6971111111111</v>
      </c>
      <c r="G103" s="56">
        <f>(G97*A103)-C86</f>
        <v>410.01003584229397</v>
      </c>
      <c r="H103" s="58">
        <f>(H97*A103)-C86</f>
        <v>498.42726881720432</v>
      </c>
    </row>
    <row r="104" spans="1:8" x14ac:dyDescent="0.3">
      <c r="A104" s="59">
        <f>A103+10</f>
        <v>231.04308243727598</v>
      </c>
      <c r="B104" s="60">
        <f>(B97*A104)-C86</f>
        <v>-56.389053763440756</v>
      </c>
      <c r="C104" s="60">
        <f>(C97*A104)-C86</f>
        <v>59.132487455197179</v>
      </c>
      <c r="D104" s="60">
        <f>(D97*A104)-C86</f>
        <v>174.65402867383523</v>
      </c>
      <c r="E104" s="61">
        <f>(E97*A104)-C86</f>
        <v>290.17556989247328</v>
      </c>
      <c r="F104" s="60">
        <f>(F97*A104)-C86</f>
        <v>405.6971111111111</v>
      </c>
      <c r="G104" s="60">
        <f>(G97*A104)-C86</f>
        <v>475.01003584229397</v>
      </c>
      <c r="H104" s="62">
        <f>(A104*H97)-C86</f>
        <v>567.42726881720432</v>
      </c>
    </row>
  </sheetData>
  <mergeCells count="17">
    <mergeCell ref="A86:B86"/>
    <mergeCell ref="C53:D53"/>
    <mergeCell ref="C70:D70"/>
    <mergeCell ref="C55:D55"/>
    <mergeCell ref="C58:D58"/>
    <mergeCell ref="C60:D60"/>
    <mergeCell ref="A74:C74"/>
    <mergeCell ref="I62:J62"/>
    <mergeCell ref="K62:L62"/>
    <mergeCell ref="F78:H79"/>
    <mergeCell ref="C50:D50"/>
    <mergeCell ref="A1:H1"/>
    <mergeCell ref="C20:D20"/>
    <mergeCell ref="C24:D24"/>
    <mergeCell ref="C27:D27"/>
    <mergeCell ref="C30:D30"/>
    <mergeCell ref="C36:D36"/>
  </mergeCells>
  <pageMargins left="0.7" right="0.7" top="0.75" bottom="0.75" header="0.51180555555555551" footer="0.51180555555555551"/>
  <pageSetup scale="65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1"/>
  <sheetViews>
    <sheetView showGridLines="0" zoomScale="95" zoomScaleNormal="95" workbookViewId="0">
      <selection activeCell="D10" sqref="D10"/>
    </sheetView>
  </sheetViews>
  <sheetFormatPr baseColWidth="10" defaultColWidth="10.6640625" defaultRowHeight="14.4" x14ac:dyDescent="0.3"/>
  <cols>
    <col min="1" max="1" width="34.88671875" style="1" customWidth="1"/>
    <col min="2" max="3" width="9.5546875" style="1" bestFit="1" customWidth="1"/>
    <col min="4" max="4" width="12.6640625" style="2" bestFit="1" customWidth="1"/>
    <col min="5" max="5" width="10.44140625" style="1" customWidth="1"/>
    <col min="6" max="6" width="8" style="1" customWidth="1"/>
    <col min="7" max="7" width="13.5546875" style="1" bestFit="1" customWidth="1"/>
    <col min="8" max="8" width="16.44140625" style="1" bestFit="1" customWidth="1"/>
    <col min="9" max="9" width="11.5546875" style="1" customWidth="1"/>
    <col min="10" max="16384" width="10.6640625" style="1"/>
  </cols>
  <sheetData>
    <row r="1" spans="1:10" s="3" customFormat="1" ht="21.6" thickBot="1" x14ac:dyDescent="0.45">
      <c r="A1" s="664" t="s">
        <v>460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Cotizaciones!F8</f>
        <v>0</v>
      </c>
      <c r="E8" s="216">
        <f t="shared" ref="E8:E17" si="0">B8*D8</f>
        <v>0</v>
      </c>
    </row>
    <row r="9" spans="1:10" s="3" customFormat="1" ht="13.8" x14ac:dyDescent="0.3">
      <c r="A9" s="209" t="s">
        <v>250</v>
      </c>
      <c r="B9" s="169">
        <v>0</v>
      </c>
      <c r="C9" s="18" t="s">
        <v>247</v>
      </c>
      <c r="D9" s="117">
        <v>24</v>
      </c>
      <c r="E9" s="216">
        <f t="shared" si="0"/>
        <v>0</v>
      </c>
      <c r="J9" s="3" t="s">
        <v>336</v>
      </c>
    </row>
    <row r="10" spans="1:10" s="3" customFormat="1" ht="13.8" x14ac:dyDescent="0.3">
      <c r="A10" s="209" t="s">
        <v>251</v>
      </c>
      <c r="B10" s="169">
        <v>2</v>
      </c>
      <c r="C10" s="18" t="s">
        <v>247</v>
      </c>
      <c r="D10" s="522">
        <v>7</v>
      </c>
      <c r="E10" s="117">
        <f t="shared" si="0"/>
        <v>14</v>
      </c>
      <c r="H10" s="93">
        <v>41061</v>
      </c>
      <c r="I10" s="93">
        <v>41153</v>
      </c>
      <c r="J10" s="3" t="s">
        <v>256</v>
      </c>
    </row>
    <row r="11" spans="1:10" s="3" customFormat="1" ht="13.8" x14ac:dyDescent="0.3">
      <c r="A11" s="209" t="s">
        <v>518</v>
      </c>
      <c r="B11" s="169">
        <v>1</v>
      </c>
      <c r="C11" s="18" t="s">
        <v>461</v>
      </c>
      <c r="D11" s="522">
        <v>8</v>
      </c>
      <c r="E11" s="117">
        <f t="shared" si="0"/>
        <v>8</v>
      </c>
      <c r="H11" s="93"/>
      <c r="I11" s="93"/>
      <c r="J11" s="3" t="s">
        <v>408</v>
      </c>
    </row>
    <row r="12" spans="1:10" s="3" customFormat="1" ht="13.8" x14ac:dyDescent="0.3">
      <c r="A12" s="209" t="s">
        <v>345</v>
      </c>
      <c r="B12" s="169">
        <v>1</v>
      </c>
      <c r="C12" s="18" t="s">
        <v>247</v>
      </c>
      <c r="D12" s="117">
        <v>55</v>
      </c>
      <c r="E12" s="117">
        <f t="shared" si="0"/>
        <v>55</v>
      </c>
      <c r="H12" s="93">
        <v>41214</v>
      </c>
      <c r="J12" s="3" t="s">
        <v>276</v>
      </c>
    </row>
    <row r="13" spans="1:10" s="3" customFormat="1" ht="13.8" x14ac:dyDescent="0.3">
      <c r="A13" s="209" t="s">
        <v>497</v>
      </c>
      <c r="B13" s="169">
        <v>1</v>
      </c>
      <c r="C13" s="18" t="s">
        <v>247</v>
      </c>
      <c r="D13" s="522">
        <v>12</v>
      </c>
      <c r="E13" s="117">
        <f t="shared" si="0"/>
        <v>12</v>
      </c>
      <c r="H13" s="93">
        <v>41215</v>
      </c>
      <c r="I13" s="93">
        <v>40940</v>
      </c>
      <c r="J13" s="3" t="s">
        <v>276</v>
      </c>
    </row>
    <row r="14" spans="1:10" s="3" customFormat="1" ht="13.8" x14ac:dyDescent="0.3">
      <c r="A14" s="209" t="s">
        <v>462</v>
      </c>
      <c r="B14" s="169">
        <v>0</v>
      </c>
      <c r="C14" s="18" t="s">
        <v>247</v>
      </c>
      <c r="D14" s="522">
        <v>7</v>
      </c>
      <c r="E14" s="117">
        <f t="shared" si="0"/>
        <v>0</v>
      </c>
      <c r="H14" s="93"/>
      <c r="I14" s="93"/>
      <c r="J14" s="3" t="s">
        <v>383</v>
      </c>
    </row>
    <row r="15" spans="1:10" s="3" customFormat="1" ht="13.8" x14ac:dyDescent="0.3">
      <c r="A15" s="209" t="s">
        <v>463</v>
      </c>
      <c r="B15" s="169">
        <v>0</v>
      </c>
      <c r="C15" s="18" t="s">
        <v>247</v>
      </c>
      <c r="D15" s="117">
        <f>+D14</f>
        <v>7</v>
      </c>
      <c r="E15" s="117">
        <f t="shared" si="0"/>
        <v>0</v>
      </c>
      <c r="H15" s="93">
        <v>40941</v>
      </c>
      <c r="J15" s="3" t="s">
        <v>347</v>
      </c>
    </row>
    <row r="16" spans="1:10" s="3" customFormat="1" ht="13.8" x14ac:dyDescent="0.3">
      <c r="A16" s="209" t="s">
        <v>38</v>
      </c>
      <c r="B16" s="169">
        <v>0</v>
      </c>
      <c r="C16" s="18" t="s">
        <v>247</v>
      </c>
      <c r="D16" s="117">
        <v>6</v>
      </c>
      <c r="E16" s="117">
        <f t="shared" si="0"/>
        <v>0</v>
      </c>
      <c r="H16" s="93">
        <v>41183</v>
      </c>
      <c r="J16" s="3" t="s">
        <v>261</v>
      </c>
    </row>
    <row r="17" spans="1:10" s="3" customFormat="1" ht="13.8" x14ac:dyDescent="0.3">
      <c r="A17" s="209" t="s">
        <v>464</v>
      </c>
      <c r="B17" s="169">
        <v>0</v>
      </c>
      <c r="C17" s="18" t="s">
        <v>247</v>
      </c>
      <c r="D17" s="117">
        <f>+((Cotizaciones!E12/Cotizaciones!M14)/1000)*B23</f>
        <v>0.50819815870232354</v>
      </c>
      <c r="E17" s="117">
        <f t="shared" si="0"/>
        <v>0</v>
      </c>
    </row>
    <row r="18" spans="1:10" s="3" customFormat="1" ht="13.8" x14ac:dyDescent="0.3">
      <c r="A18" s="209" t="s">
        <v>413</v>
      </c>
      <c r="B18" s="169">
        <v>0</v>
      </c>
      <c r="C18" s="18" t="s">
        <v>247</v>
      </c>
      <c r="D18" s="117">
        <f>Cotizaciones!F6</f>
        <v>5</v>
      </c>
      <c r="E18" s="117">
        <f>B18*D18</f>
        <v>0</v>
      </c>
      <c r="H18" s="93">
        <v>41214</v>
      </c>
      <c r="J18" s="3" t="s">
        <v>261</v>
      </c>
    </row>
    <row r="19" spans="1:10" s="3" customFormat="1" ht="13.8" x14ac:dyDescent="0.3">
      <c r="A19" s="209"/>
      <c r="B19" s="87"/>
      <c r="C19" s="18"/>
      <c r="D19" s="19"/>
      <c r="E19" s="19"/>
    </row>
    <row r="20" spans="1:10" s="3" customFormat="1" ht="15" customHeight="1" x14ac:dyDescent="0.3">
      <c r="A20" s="210"/>
      <c r="B20" s="7"/>
      <c r="C20" s="667" t="s">
        <v>265</v>
      </c>
      <c r="D20" s="667"/>
      <c r="E20" s="141">
        <f>SUM(E8:E19)</f>
        <v>89</v>
      </c>
      <c r="F20" s="159">
        <f>E20/E64</f>
        <v>0.2227784730913642</v>
      </c>
      <c r="G20" s="141">
        <f>E20*D1</f>
        <v>0</v>
      </c>
    </row>
    <row r="21" spans="1:10" s="3" customFormat="1" ht="13.8" x14ac:dyDescent="0.3">
      <c r="A21" s="208" t="s">
        <v>205</v>
      </c>
      <c r="B21" s="11"/>
      <c r="C21" s="12"/>
      <c r="D21" s="24"/>
      <c r="E21" s="25"/>
      <c r="F21" s="15"/>
    </row>
    <row r="22" spans="1:10" s="3" customFormat="1" ht="11.1" customHeight="1" x14ac:dyDescent="0.3">
      <c r="A22" s="211"/>
      <c r="B22" s="87"/>
      <c r="C22" s="18"/>
      <c r="D22" s="28"/>
      <c r="E22" s="29"/>
    </row>
    <row r="23" spans="1:10" s="3" customFormat="1" ht="13.8" x14ac:dyDescent="0.3">
      <c r="A23" s="212" t="s">
        <v>465</v>
      </c>
      <c r="B23" s="169">
        <v>24</v>
      </c>
      <c r="C23" s="18" t="s">
        <v>350</v>
      </c>
      <c r="D23" s="161">
        <v>0.45</v>
      </c>
      <c r="E23" s="162">
        <f>B23*D23</f>
        <v>10.8</v>
      </c>
      <c r="H23" s="93">
        <v>41214</v>
      </c>
      <c r="J23" s="3" t="s">
        <v>261</v>
      </c>
    </row>
    <row r="24" spans="1:10" s="3" customFormat="1" ht="13.8" x14ac:dyDescent="0.3">
      <c r="A24" s="212"/>
      <c r="B24" s="18"/>
      <c r="C24" s="667" t="s">
        <v>270</v>
      </c>
      <c r="D24" s="667"/>
      <c r="E24" s="141">
        <f>SUM(E23:E23)</f>
        <v>10.8</v>
      </c>
      <c r="F24" s="159">
        <f>E24/E64</f>
        <v>2.7033792240300378E-2</v>
      </c>
      <c r="G24" s="141">
        <f>E24*D1</f>
        <v>0</v>
      </c>
    </row>
    <row r="25" spans="1:10" s="3" customFormat="1" ht="13.8" x14ac:dyDescent="0.3">
      <c r="A25" s="212"/>
      <c r="B25" s="87"/>
      <c r="C25" s="18"/>
      <c r="D25" s="28"/>
      <c r="E25" s="29"/>
    </row>
    <row r="26" spans="1:10" s="3" customFormat="1" ht="13.8" x14ac:dyDescent="0.3">
      <c r="A26" s="208" t="s">
        <v>206</v>
      </c>
      <c r="B26" s="11">
        <v>0</v>
      </c>
      <c r="C26" s="12" t="s">
        <v>247</v>
      </c>
      <c r="D26" s="86">
        <f>'Resumen Proy'!D15</f>
        <v>426</v>
      </c>
      <c r="E26" s="175">
        <f>B26*D26</f>
        <v>0</v>
      </c>
      <c r="F26" s="15"/>
    </row>
    <row r="27" spans="1:10" s="3" customFormat="1" ht="13.8" x14ac:dyDescent="0.3">
      <c r="A27" s="212"/>
      <c r="B27" s="87"/>
      <c r="C27" s="754" t="s">
        <v>271</v>
      </c>
      <c r="D27" s="754"/>
      <c r="E27" s="176">
        <f>E26</f>
        <v>0</v>
      </c>
      <c r="F27" s="159">
        <f>E27/E64</f>
        <v>0</v>
      </c>
      <c r="G27" s="141">
        <f>E27*D1</f>
        <v>0</v>
      </c>
    </row>
    <row r="28" spans="1:10" s="3" customFormat="1" ht="13.8" x14ac:dyDescent="0.3">
      <c r="A28" s="212"/>
      <c r="B28" s="87"/>
      <c r="C28" s="18"/>
      <c r="D28" s="28"/>
      <c r="E28" s="29"/>
    </row>
    <row r="29" spans="1:10" s="3" customFormat="1" ht="13.8" x14ac:dyDescent="0.3">
      <c r="A29" s="208" t="s">
        <v>207</v>
      </c>
      <c r="B29" s="281">
        <f>0.3*40</f>
        <v>12</v>
      </c>
      <c r="C29" s="12" t="s">
        <v>272</v>
      </c>
      <c r="D29" s="173">
        <f>B29</f>
        <v>12</v>
      </c>
      <c r="E29" s="174">
        <f>D29</f>
        <v>12</v>
      </c>
      <c r="F29" s="15"/>
    </row>
    <row r="30" spans="1:10" s="3" customFormat="1" ht="13.8" x14ac:dyDescent="0.3">
      <c r="A30" s="212"/>
      <c r="B30" s="87"/>
      <c r="C30" s="754" t="s">
        <v>273</v>
      </c>
      <c r="D30" s="754"/>
      <c r="E30" s="141">
        <f>E29</f>
        <v>12</v>
      </c>
      <c r="F30" s="159">
        <f>E30/E64</f>
        <v>3.0037546933667083E-2</v>
      </c>
      <c r="G30" s="141">
        <f>E30*D1</f>
        <v>0</v>
      </c>
    </row>
    <row r="31" spans="1:10" s="3" customFormat="1" ht="13.8" x14ac:dyDescent="0.3">
      <c r="A31" s="212"/>
      <c r="B31" s="87"/>
      <c r="C31" s="7"/>
      <c r="D31" s="7"/>
      <c r="E31" s="33"/>
    </row>
    <row r="32" spans="1:10" s="3" customFormat="1" ht="13.8" x14ac:dyDescent="0.3">
      <c r="A32" s="208" t="s">
        <v>140</v>
      </c>
      <c r="B32" s="11"/>
      <c r="C32" s="12"/>
      <c r="D32" s="24"/>
      <c r="E32" s="25"/>
      <c r="F32" s="15"/>
    </row>
    <row r="33" spans="1:10" s="3" customFormat="1" ht="13.8" x14ac:dyDescent="0.3">
      <c r="A33" s="212" t="s">
        <v>366</v>
      </c>
      <c r="B33" s="170">
        <v>7.0000000000000007E-2</v>
      </c>
      <c r="C33" s="18" t="s">
        <v>275</v>
      </c>
      <c r="D33" s="173">
        <f>Cotizaciones!I25</f>
        <v>990</v>
      </c>
      <c r="E33" s="146">
        <f>B33*D33</f>
        <v>69.300000000000011</v>
      </c>
      <c r="H33" s="93">
        <v>41214</v>
      </c>
    </row>
    <row r="34" spans="1:10" s="3" customFormat="1" ht="13.8" x14ac:dyDescent="0.3">
      <c r="A34" s="212" t="s">
        <v>519</v>
      </c>
      <c r="B34" s="170">
        <v>0.06</v>
      </c>
      <c r="C34" s="18" t="s">
        <v>275</v>
      </c>
      <c r="D34" s="173">
        <f>+Cotizaciones!I34</f>
        <v>610</v>
      </c>
      <c r="E34" s="146">
        <f>B34*D34</f>
        <v>36.6</v>
      </c>
      <c r="I34" s="3">
        <f>+E34*B3</f>
        <v>0</v>
      </c>
      <c r="J34" s="3" t="s">
        <v>261</v>
      </c>
    </row>
    <row r="35" spans="1:10" s="3" customFormat="1" ht="13.8" x14ac:dyDescent="0.3">
      <c r="A35" s="212"/>
      <c r="B35" s="170">
        <f>+B34+B33</f>
        <v>0.13</v>
      </c>
      <c r="C35" s="18"/>
      <c r="D35" s="173">
        <f>+'Cebada SP'!D35</f>
        <v>35</v>
      </c>
      <c r="E35" s="146">
        <f>+D35*B35</f>
        <v>4.55</v>
      </c>
    </row>
    <row r="36" spans="1:10" s="3" customFormat="1" ht="13.8" x14ac:dyDescent="0.3">
      <c r="A36" s="212"/>
      <c r="B36" s="18"/>
      <c r="C36" s="667" t="s">
        <v>280</v>
      </c>
      <c r="D36" s="667"/>
      <c r="E36" s="176">
        <f>+E35+E34+E33</f>
        <v>110.45000000000002</v>
      </c>
      <c r="F36" s="159">
        <f>E36/E64</f>
        <v>0.27647058823529413</v>
      </c>
      <c r="G36" s="141">
        <f>E36*D1</f>
        <v>0</v>
      </c>
    </row>
    <row r="37" spans="1:10" s="3" customFormat="1" ht="13.8" x14ac:dyDescent="0.3">
      <c r="A37" s="208" t="s">
        <v>118</v>
      </c>
      <c r="B37" s="12"/>
      <c r="C37" s="67"/>
      <c r="D37" s="67"/>
      <c r="E37" s="68"/>
      <c r="F37" s="147"/>
    </row>
    <row r="38" spans="1:10" s="3" customFormat="1" ht="13.8" x14ac:dyDescent="0.3">
      <c r="A38" s="212"/>
      <c r="B38" s="87"/>
      <c r="C38" s="18"/>
      <c r="D38" s="28"/>
      <c r="E38" s="29"/>
    </row>
    <row r="39" spans="1:10" s="3" customFormat="1" ht="13.8" x14ac:dyDescent="0.3">
      <c r="A39" s="212" t="s">
        <v>145</v>
      </c>
      <c r="B39" s="171">
        <v>1</v>
      </c>
      <c r="C39" s="18" t="s">
        <v>283</v>
      </c>
      <c r="D39" s="117">
        <f>Cotizaciones!I6</f>
        <v>3</v>
      </c>
      <c r="E39" s="117">
        <f>B39*D39</f>
        <v>3</v>
      </c>
      <c r="H39" s="3" t="s">
        <v>467</v>
      </c>
      <c r="I39" s="3" t="s">
        <v>468</v>
      </c>
      <c r="J39" s="3" t="s">
        <v>276</v>
      </c>
    </row>
    <row r="40" spans="1:10" s="3" customFormat="1" ht="13.8" x14ac:dyDescent="0.3">
      <c r="A40" s="212" t="s">
        <v>469</v>
      </c>
      <c r="B40" s="171">
        <v>0</v>
      </c>
      <c r="C40" s="18" t="s">
        <v>283</v>
      </c>
      <c r="D40" s="117">
        <f>Cotizaciones!I21</f>
        <v>12</v>
      </c>
      <c r="E40" s="117">
        <f>B40*D40</f>
        <v>0</v>
      </c>
      <c r="H40" s="3" t="str">
        <f>+A10</f>
        <v>Barbecho Quimico</v>
      </c>
      <c r="J40" s="3" t="s">
        <v>253</v>
      </c>
    </row>
    <row r="41" spans="1:10" s="3" customFormat="1" ht="13.8" x14ac:dyDescent="0.3">
      <c r="A41" s="212" t="s">
        <v>470</v>
      </c>
      <c r="B41" s="171">
        <v>0</v>
      </c>
      <c r="C41" s="18" t="s">
        <v>283</v>
      </c>
      <c r="D41" s="117">
        <f>+Cotizaciones!I51</f>
        <v>7.2</v>
      </c>
      <c r="E41" s="117">
        <f>B41*D41</f>
        <v>0</v>
      </c>
      <c r="H41" s="3" t="str">
        <f>+H40</f>
        <v>Barbecho Quimico</v>
      </c>
      <c r="J41" s="3" t="str">
        <f>+J40</f>
        <v>JULIO</v>
      </c>
    </row>
    <row r="42" spans="1:10" s="3" customFormat="1" ht="13.8" x14ac:dyDescent="0.3">
      <c r="A42" s="212" t="s">
        <v>282</v>
      </c>
      <c r="B42" s="171">
        <v>2</v>
      </c>
      <c r="C42" s="18" t="s">
        <v>283</v>
      </c>
      <c r="D42" s="433">
        <f>+Cotizaciones!I45</f>
        <v>2.6</v>
      </c>
      <c r="E42" s="117">
        <f>B42*D42</f>
        <v>5.2</v>
      </c>
      <c r="H42" s="3" t="str">
        <f>+A12</f>
        <v>Siembra Directa</v>
      </c>
      <c r="J42" s="3" t="s">
        <v>261</v>
      </c>
    </row>
    <row r="43" spans="1:10" s="3" customFormat="1" ht="13.8" x14ac:dyDescent="0.3">
      <c r="A43" s="212" t="s">
        <v>471</v>
      </c>
      <c r="B43" s="171">
        <v>2.5</v>
      </c>
      <c r="C43" s="18" t="s">
        <v>283</v>
      </c>
      <c r="D43" s="161">
        <f>+Cotizaciones!I43</f>
        <v>4.5</v>
      </c>
      <c r="E43" s="117">
        <f t="shared" ref="E43:E47" si="1">B43*D43</f>
        <v>11.25</v>
      </c>
      <c r="H43" s="3" t="s">
        <v>251</v>
      </c>
      <c r="J43" s="3" t="s">
        <v>253</v>
      </c>
    </row>
    <row r="44" spans="1:10" s="3" customFormat="1" ht="13.8" x14ac:dyDescent="0.3">
      <c r="A44" s="212" t="s">
        <v>7</v>
      </c>
      <c r="B44" s="169">
        <v>1</v>
      </c>
      <c r="C44" s="18" t="s">
        <v>283</v>
      </c>
      <c r="D44" s="117">
        <f>Cotizaciones!I5</f>
        <v>4.5999999999999996</v>
      </c>
      <c r="E44" s="117">
        <f t="shared" si="1"/>
        <v>4.5999999999999996</v>
      </c>
      <c r="H44" s="3" t="s">
        <v>417</v>
      </c>
      <c r="J44" s="3" t="s">
        <v>253</v>
      </c>
    </row>
    <row r="45" spans="1:10" s="3" customFormat="1" ht="13.8" x14ac:dyDescent="0.3">
      <c r="A45" s="212" t="s">
        <v>141</v>
      </c>
      <c r="B45" s="171">
        <v>1.2</v>
      </c>
      <c r="C45" s="18" t="s">
        <v>283</v>
      </c>
      <c r="D45" s="117">
        <f>Cotizaciones!I27</f>
        <v>6</v>
      </c>
      <c r="E45" s="117">
        <f t="shared" si="1"/>
        <v>7.1999999999999993</v>
      </c>
    </row>
    <row r="46" spans="1:10" s="3" customFormat="1" ht="13.8" x14ac:dyDescent="0.3">
      <c r="A46" s="212" t="s">
        <v>520</v>
      </c>
      <c r="B46" s="171">
        <v>1</v>
      </c>
      <c r="C46" s="18" t="s">
        <v>283</v>
      </c>
      <c r="D46" s="117">
        <v>17</v>
      </c>
      <c r="E46" s="117">
        <f t="shared" si="1"/>
        <v>17</v>
      </c>
      <c r="H46" s="3" t="s">
        <v>468</v>
      </c>
      <c r="J46" s="3" t="s">
        <v>347</v>
      </c>
    </row>
    <row r="47" spans="1:10" s="3" customFormat="1" ht="13.8" x14ac:dyDescent="0.3">
      <c r="A47" s="212" t="s">
        <v>521</v>
      </c>
      <c r="B47" s="171">
        <v>2</v>
      </c>
      <c r="C47" s="18" t="s">
        <v>283</v>
      </c>
      <c r="D47" s="117">
        <v>17</v>
      </c>
      <c r="E47" s="117">
        <f t="shared" si="1"/>
        <v>34</v>
      </c>
      <c r="J47" s="3" t="s">
        <v>276</v>
      </c>
    </row>
    <row r="48" spans="1:10" s="3" customFormat="1" ht="13.8" x14ac:dyDescent="0.3">
      <c r="A48" s="212"/>
      <c r="B48" s="171"/>
      <c r="C48" s="18"/>
      <c r="D48" s="117"/>
      <c r="E48" s="117"/>
      <c r="H48" s="3" t="s">
        <v>467</v>
      </c>
      <c r="J48" s="3" t="s">
        <v>276</v>
      </c>
    </row>
    <row r="49" spans="1:10" s="3" customFormat="1" ht="13.8" x14ac:dyDescent="0.3">
      <c r="A49" s="212"/>
      <c r="B49" s="171"/>
      <c r="C49" s="18"/>
      <c r="D49" s="117"/>
      <c r="E49" s="117"/>
      <c r="H49" s="3" t="s">
        <v>468</v>
      </c>
      <c r="J49" s="3" t="s">
        <v>276</v>
      </c>
    </row>
    <row r="50" spans="1:10" s="3" customFormat="1" ht="13.8" x14ac:dyDescent="0.3">
      <c r="A50" s="212"/>
      <c r="B50" s="171"/>
      <c r="C50" s="18"/>
      <c r="D50" s="117"/>
      <c r="E50" s="117"/>
      <c r="H50" s="3" t="s">
        <v>472</v>
      </c>
      <c r="J50" s="3" t="s">
        <v>276</v>
      </c>
    </row>
    <row r="51" spans="1:10" s="3" customFormat="1" ht="13.8" x14ac:dyDescent="0.3">
      <c r="A51" s="212"/>
      <c r="B51" s="171"/>
      <c r="C51" s="18"/>
      <c r="D51" s="117"/>
      <c r="E51" s="117"/>
      <c r="H51" s="3" t="s">
        <v>468</v>
      </c>
      <c r="J51" s="3" t="s">
        <v>347</v>
      </c>
    </row>
    <row r="52" spans="1:10" s="3" customFormat="1" ht="13.8" x14ac:dyDescent="0.3">
      <c r="A52" s="212"/>
      <c r="B52" s="171"/>
      <c r="C52" s="18"/>
      <c r="D52" s="117"/>
      <c r="E52" s="117"/>
      <c r="H52" s="3" t="str">
        <f>+A18</f>
        <v>Aplicacion Cebo</v>
      </c>
      <c r="J52" s="3" t="s">
        <v>261</v>
      </c>
    </row>
    <row r="53" spans="1:10" s="3" customFormat="1" ht="13.8" x14ac:dyDescent="0.3">
      <c r="A53" s="212"/>
      <c r="B53" s="18"/>
      <c r="C53" s="667" t="s">
        <v>288</v>
      </c>
      <c r="D53" s="667"/>
      <c r="E53" s="176">
        <f>SUM(E39:E52)</f>
        <v>82.25</v>
      </c>
      <c r="F53" s="159">
        <f>E53/E64</f>
        <v>0.20588235294117646</v>
      </c>
      <c r="G53" s="141">
        <f>E53*D1</f>
        <v>0</v>
      </c>
    </row>
    <row r="54" spans="1:10" s="3" customFormat="1" ht="13.8" x14ac:dyDescent="0.3">
      <c r="A54" s="212"/>
      <c r="B54" s="87"/>
      <c r="C54" s="18"/>
      <c r="D54" s="28"/>
      <c r="E54" s="29"/>
    </row>
    <row r="55" spans="1:10" s="3" customFormat="1" ht="13.8" x14ac:dyDescent="0.3">
      <c r="A55" s="208" t="s">
        <v>289</v>
      </c>
      <c r="B55" s="214">
        <v>1</v>
      </c>
      <c r="C55" s="12" t="s">
        <v>290</v>
      </c>
      <c r="D55" s="173">
        <v>80</v>
      </c>
      <c r="E55" s="174">
        <f>+D55*B55</f>
        <v>80</v>
      </c>
      <c r="F55" s="15"/>
    </row>
    <row r="56" spans="1:10" s="3" customFormat="1" ht="13.8" x14ac:dyDescent="0.3">
      <c r="A56" s="213"/>
      <c r="B56" s="180"/>
      <c r="C56" s="754" t="s">
        <v>291</v>
      </c>
      <c r="D56" s="754"/>
      <c r="E56" s="176">
        <f>E55</f>
        <v>80</v>
      </c>
      <c r="F56" s="159">
        <f>E56/E64</f>
        <v>0.20025031289111389</v>
      </c>
    </row>
    <row r="57" spans="1:10" s="3" customFormat="1" ht="13.8" x14ac:dyDescent="0.3"/>
    <row r="58" spans="1:10" s="3" customFormat="1" ht="13.8" x14ac:dyDescent="0.3">
      <c r="A58" s="208" t="s">
        <v>292</v>
      </c>
      <c r="B58" s="182">
        <v>2.8</v>
      </c>
      <c r="C58" s="12" t="s">
        <v>241</v>
      </c>
      <c r="D58" s="177">
        <v>15</v>
      </c>
      <c r="E58" s="178">
        <f>D58</f>
        <v>15</v>
      </c>
      <c r="F58" s="15"/>
    </row>
    <row r="59" spans="1:10" s="3" customFormat="1" ht="13.8" x14ac:dyDescent="0.3">
      <c r="A59" s="213"/>
      <c r="B59" s="180"/>
      <c r="C59" s="754" t="s">
        <v>293</v>
      </c>
      <c r="D59" s="754"/>
      <c r="E59" s="176">
        <f>E58</f>
        <v>15</v>
      </c>
      <c r="F59" s="159">
        <f>E59/E64</f>
        <v>3.7546933667083858E-2</v>
      </c>
    </row>
    <row r="60" spans="1:10" s="3" customFormat="1" ht="13.8" x14ac:dyDescent="0.3">
      <c r="A60" s="213"/>
      <c r="B60" s="180"/>
      <c r="C60" s="7"/>
      <c r="D60" s="7"/>
      <c r="E60" s="38"/>
    </row>
    <row r="61" spans="1:10" s="3" customFormat="1" ht="13.8" x14ac:dyDescent="0.3">
      <c r="A61" s="208" t="s">
        <v>294</v>
      </c>
      <c r="B61" s="214">
        <v>0</v>
      </c>
      <c r="C61" s="12" t="s">
        <v>295</v>
      </c>
      <c r="D61" s="71">
        <v>0</v>
      </c>
      <c r="E61" s="64">
        <f>(E53+E36+E27+E20+E24)*D61/100</f>
        <v>0</v>
      </c>
      <c r="F61" s="15"/>
    </row>
    <row r="62" spans="1:10" s="3" customFormat="1" ht="13.8" x14ac:dyDescent="0.3">
      <c r="A62" s="212"/>
      <c r="B62" s="27"/>
      <c r="C62" s="754" t="s">
        <v>296</v>
      </c>
      <c r="D62" s="754"/>
      <c r="E62" s="32"/>
      <c r="F62" s="22"/>
    </row>
    <row r="63" spans="1:10" s="3" customFormat="1" ht="13.8" x14ac:dyDescent="0.3">
      <c r="A63" s="212"/>
      <c r="B63" s="27"/>
      <c r="C63" s="7"/>
      <c r="D63" s="7"/>
      <c r="E63" s="38"/>
    </row>
    <row r="64" spans="1:10" s="3" customFormat="1" ht="13.8" x14ac:dyDescent="0.3">
      <c r="A64" s="224"/>
      <c r="B64" s="73"/>
      <c r="C64" s="673" t="s">
        <v>317</v>
      </c>
      <c r="D64" s="673"/>
      <c r="E64" s="74">
        <f>E20+E24+E27+E30+E36+E53+E56+E59+E62</f>
        <v>399.5</v>
      </c>
      <c r="F64" s="75">
        <f>F59+F75+F56+F53+F36+F30+F27+F24+F20</f>
        <v>1.0839799749687109</v>
      </c>
    </row>
    <row r="66" spans="1:6" s="3" customFormat="1" ht="13.8" x14ac:dyDescent="0.3">
      <c r="A66" s="208" t="s">
        <v>300</v>
      </c>
      <c r="B66" s="214"/>
      <c r="C66" s="12"/>
      <c r="D66" s="24"/>
      <c r="E66" s="25"/>
      <c r="F66" s="15"/>
    </row>
    <row r="67" spans="1:6" s="3" customFormat="1" ht="13.8" x14ac:dyDescent="0.3">
      <c r="A67" s="213" t="s">
        <v>301</v>
      </c>
      <c r="B67" s="181">
        <v>0</v>
      </c>
      <c r="C67" s="18" t="s">
        <v>302</v>
      </c>
      <c r="D67" s="145">
        <f>Cotizaciones!F24</f>
        <v>3.3</v>
      </c>
      <c r="E67" s="146">
        <f>D67*B67*B82</f>
        <v>0</v>
      </c>
    </row>
    <row r="68" spans="1:6" s="3" customFormat="1" ht="13.8" x14ac:dyDescent="0.3">
      <c r="A68" s="213" t="s">
        <v>303</v>
      </c>
      <c r="B68" s="181">
        <v>0</v>
      </c>
      <c r="C68" s="18" t="s">
        <v>355</v>
      </c>
      <c r="D68" s="145">
        <f>Cotizaciones!I41/210</f>
        <v>1.9523809523809523</v>
      </c>
      <c r="E68" s="146">
        <f t="shared" ref="E68:E73" si="2">+D68*B68*$B$82</f>
        <v>0</v>
      </c>
    </row>
    <row r="69" spans="1:6" s="3" customFormat="1" ht="13.8" x14ac:dyDescent="0.3">
      <c r="A69" s="213" t="s">
        <v>305</v>
      </c>
      <c r="B69" s="181">
        <v>0</v>
      </c>
      <c r="C69" s="18" t="s">
        <v>302</v>
      </c>
      <c r="D69" s="146">
        <f>Cotizaciones!F33</f>
        <v>3</v>
      </c>
      <c r="E69" s="146">
        <f t="shared" si="2"/>
        <v>0</v>
      </c>
    </row>
    <row r="70" spans="1:6" s="3" customFormat="1" ht="13.8" x14ac:dyDescent="0.3">
      <c r="A70" s="213" t="s">
        <v>306</v>
      </c>
      <c r="B70" s="181">
        <v>0</v>
      </c>
      <c r="C70" s="18" t="s">
        <v>302</v>
      </c>
      <c r="D70" s="146">
        <f>Cotizaciones!F35</f>
        <v>5</v>
      </c>
      <c r="E70" s="146">
        <f t="shared" si="2"/>
        <v>0</v>
      </c>
    </row>
    <row r="71" spans="1:6" s="3" customFormat="1" ht="13.8" x14ac:dyDescent="0.3">
      <c r="A71" s="213" t="s">
        <v>83</v>
      </c>
      <c r="B71" s="181">
        <v>0</v>
      </c>
      <c r="C71" s="18" t="s">
        <v>302</v>
      </c>
      <c r="D71" s="146">
        <f>+Cotizaciones!F36</f>
        <v>6.5</v>
      </c>
      <c r="E71" s="146">
        <f t="shared" si="2"/>
        <v>0</v>
      </c>
    </row>
    <row r="72" spans="1:6" s="3" customFormat="1" ht="13.8" x14ac:dyDescent="0.3">
      <c r="A72" s="213" t="s">
        <v>307</v>
      </c>
      <c r="B72" s="181">
        <v>1</v>
      </c>
      <c r="C72" s="18" t="s">
        <v>302</v>
      </c>
      <c r="D72" s="146">
        <f>Cotizaciones!F5</f>
        <v>0</v>
      </c>
      <c r="E72" s="146">
        <f t="shared" si="2"/>
        <v>0</v>
      </c>
    </row>
    <row r="73" spans="1:6" s="3" customFormat="1" ht="13.8" x14ac:dyDescent="0.3">
      <c r="A73" s="213" t="s">
        <v>308</v>
      </c>
      <c r="B73" s="181">
        <v>1</v>
      </c>
      <c r="C73" s="18" t="s">
        <v>302</v>
      </c>
      <c r="D73" s="521">
        <v>30</v>
      </c>
      <c r="E73" s="146">
        <f t="shared" si="2"/>
        <v>30</v>
      </c>
    </row>
    <row r="74" spans="1:6" s="3" customFormat="1" ht="13.8" x14ac:dyDescent="0.3">
      <c r="A74" s="213" t="s">
        <v>309</v>
      </c>
      <c r="B74" s="181">
        <v>1</v>
      </c>
      <c r="C74" s="18" t="s">
        <v>295</v>
      </c>
      <c r="D74" s="146">
        <f>B74%*B82*Cotizaciones!B14</f>
        <v>3.5500000000000003</v>
      </c>
      <c r="E74" s="146">
        <f>D74</f>
        <v>3.5500000000000003</v>
      </c>
    </row>
    <row r="75" spans="1:6" s="3" customFormat="1" ht="13.8" x14ac:dyDescent="0.3">
      <c r="A75" s="213"/>
      <c r="B75" s="215"/>
      <c r="C75" s="667" t="s">
        <v>310</v>
      </c>
      <c r="D75" s="667"/>
      <c r="E75" s="176">
        <f>SUM(E69:E74)</f>
        <v>33.549999999999997</v>
      </c>
      <c r="F75" s="159">
        <f>E75/E64</f>
        <v>8.3979974968710888E-2</v>
      </c>
    </row>
    <row r="76" spans="1:6" s="3" customFormat="1" ht="13.8" x14ac:dyDescent="0.3">
      <c r="A76" s="213" t="s">
        <v>356</v>
      </c>
      <c r="B76" s="27"/>
      <c r="C76" s="566"/>
      <c r="D76" s="566"/>
      <c r="E76" s="227">
        <v>450</v>
      </c>
      <c r="F76" s="581"/>
    </row>
    <row r="77" spans="1:6" s="3" customFormat="1" ht="13.8" x14ac:dyDescent="0.3">
      <c r="A77" s="213" t="s">
        <v>311</v>
      </c>
      <c r="B77" s="30"/>
      <c r="C77" s="18"/>
      <c r="D77" s="28"/>
      <c r="E77" s="227">
        <f>+E75/B82</f>
        <v>33.549999999999997</v>
      </c>
      <c r="F77" s="581"/>
    </row>
    <row r="78" spans="1:6" s="3" customFormat="1" ht="13.8" x14ac:dyDescent="0.3">
      <c r="A78" s="213" t="s">
        <v>312</v>
      </c>
      <c r="D78" s="28"/>
      <c r="E78" s="227">
        <f>+E76-E77</f>
        <v>416.45</v>
      </c>
      <c r="F78" s="581"/>
    </row>
    <row r="79" spans="1:6" s="3" customFormat="1" ht="13.8" x14ac:dyDescent="0.3">
      <c r="A79" s="30"/>
      <c r="B79" s="30"/>
      <c r="C79" s="18"/>
      <c r="D79" s="28"/>
      <c r="E79" s="18">
        <f>+E64*B3</f>
        <v>0</v>
      </c>
    </row>
    <row r="81" spans="1:8" s="3" customFormat="1" thickBot="1" x14ac:dyDescent="0.35">
      <c r="A81" s="670" t="s">
        <v>473</v>
      </c>
      <c r="B81" s="671"/>
      <c r="C81" s="672"/>
      <c r="D81" s="28"/>
      <c r="E81" s="39"/>
    </row>
    <row r="82" spans="1:8" s="3" customFormat="1" ht="13.8" x14ac:dyDescent="0.3">
      <c r="A82" s="193" t="s">
        <v>315</v>
      </c>
      <c r="B82" s="568">
        <v>1</v>
      </c>
      <c r="C82" s="194" t="s">
        <v>316</v>
      </c>
      <c r="D82" s="33"/>
      <c r="E82" s="33"/>
      <c r="F82" s="33"/>
      <c r="G82" s="33"/>
    </row>
    <row r="83" spans="1:8" s="3" customFormat="1" ht="13.8" x14ac:dyDescent="0.3">
      <c r="A83" s="190" t="s">
        <v>358</v>
      </c>
      <c r="B83" s="574">
        <f>+E78</f>
        <v>416.45</v>
      </c>
      <c r="C83" s="196" t="s">
        <v>275</v>
      </c>
      <c r="D83" s="33"/>
      <c r="E83" s="33"/>
      <c r="F83" s="33"/>
      <c r="G83" s="33"/>
    </row>
    <row r="84" spans="1:8" s="3" customFormat="1" ht="13.8" x14ac:dyDescent="0.3">
      <c r="A84" s="191" t="s">
        <v>317</v>
      </c>
      <c r="B84" s="201">
        <f>E64</f>
        <v>399.5</v>
      </c>
      <c r="C84" s="197" t="s">
        <v>21</v>
      </c>
      <c r="D84" s="183"/>
      <c r="E84" s="183"/>
      <c r="F84" s="183"/>
      <c r="G84" s="33"/>
    </row>
    <row r="85" spans="1:8" s="3" customFormat="1" ht="13.8" x14ac:dyDescent="0.3">
      <c r="A85" s="190" t="s">
        <v>322</v>
      </c>
      <c r="B85" s="200">
        <f>+B83*B82</f>
        <v>416.45</v>
      </c>
      <c r="C85" s="196" t="s">
        <v>318</v>
      </c>
      <c r="D85" s="28"/>
      <c r="E85" s="30"/>
    </row>
    <row r="86" spans="1:8" s="3" customFormat="1" ht="13.8" x14ac:dyDescent="0.3">
      <c r="A86" s="191" t="s">
        <v>321</v>
      </c>
      <c r="B86" s="202">
        <f>+B85-E64</f>
        <v>16.949999999999989</v>
      </c>
      <c r="C86" s="197" t="s">
        <v>318</v>
      </c>
      <c r="D86" s="28"/>
      <c r="E86" s="30"/>
    </row>
    <row r="87" spans="1:8" s="3" customFormat="1" ht="13.8" x14ac:dyDescent="0.3">
      <c r="A87" s="191" t="s">
        <v>325</v>
      </c>
      <c r="B87" s="273">
        <f>B86/B84</f>
        <v>4.2428035043804727E-2</v>
      </c>
      <c r="C87" s="197"/>
      <c r="D87" s="28"/>
      <c r="E87" s="30"/>
    </row>
    <row r="88" spans="1:8" s="3" customFormat="1" ht="13.8" x14ac:dyDescent="0.3">
      <c r="A88" s="190" t="s">
        <v>326</v>
      </c>
      <c r="B88" s="234">
        <f>+B84/B83</f>
        <v>0.95929883539440508</v>
      </c>
      <c r="C88" s="197"/>
      <c r="D88" s="28"/>
      <c r="E88" s="30"/>
    </row>
    <row r="89" spans="1:8" s="3" customFormat="1" ht="13.8" x14ac:dyDescent="0.3">
      <c r="A89" s="191" t="s">
        <v>164</v>
      </c>
      <c r="B89" s="203">
        <f>+E53+E36+aquimsj1+E27+E24+E20</f>
        <v>304.5</v>
      </c>
      <c r="C89" s="197"/>
      <c r="D89" s="28"/>
      <c r="E89" s="30"/>
    </row>
    <row r="90" spans="1:8" s="3" customFormat="1" thickBot="1" x14ac:dyDescent="0.35">
      <c r="A90" s="192" t="s">
        <v>327</v>
      </c>
      <c r="B90" s="274">
        <f>+B86/B89</f>
        <v>5.5665024630541834E-2</v>
      </c>
      <c r="C90" s="199"/>
      <c r="D90" s="28"/>
      <c r="E90" s="30"/>
    </row>
    <row r="91" spans="1:8" s="3" customFormat="1" ht="13.8" x14ac:dyDescent="0.3">
      <c r="A91" s="18"/>
      <c r="B91" s="41"/>
      <c r="C91" s="41"/>
      <c r="D91" s="28"/>
      <c r="E91" s="30"/>
    </row>
    <row r="92" spans="1:8" s="3" customFormat="1" ht="13.8" x14ac:dyDescent="0.3">
      <c r="A92" s="18"/>
      <c r="B92" s="41"/>
      <c r="C92" s="41"/>
      <c r="D92" s="28"/>
      <c r="E92" s="30"/>
    </row>
    <row r="93" spans="1:8" s="3" customFormat="1" ht="13.8" x14ac:dyDescent="0.3">
      <c r="A93" s="668" t="s">
        <v>317</v>
      </c>
      <c r="B93" s="668"/>
      <c r="C93" s="42">
        <f>E64</f>
        <v>399.5</v>
      </c>
      <c r="D93" s="6"/>
    </row>
    <row r="94" spans="1:8" s="3" customFormat="1" ht="13.8" x14ac:dyDescent="0.3">
      <c r="A94" s="760" t="s">
        <v>359</v>
      </c>
      <c r="B94" s="760"/>
      <c r="C94" s="760"/>
      <c r="D94" s="760"/>
      <c r="E94" s="760"/>
      <c r="F94" s="760"/>
      <c r="G94" s="760"/>
      <c r="H94" s="760"/>
    </row>
    <row r="95" spans="1:8" s="3" customFormat="1" ht="13.8" x14ac:dyDescent="0.3">
      <c r="A95" s="605" t="s">
        <v>332</v>
      </c>
      <c r="B95" s="605">
        <f t="shared" ref="B95:G95" si="3">B104</f>
        <v>1.9</v>
      </c>
      <c r="C95" s="605">
        <f t="shared" si="3"/>
        <v>0.39999999999999997</v>
      </c>
      <c r="D95" s="605">
        <f t="shared" si="3"/>
        <v>0.7</v>
      </c>
      <c r="E95" s="605">
        <f t="shared" si="3"/>
        <v>1</v>
      </c>
      <c r="F95" s="605">
        <f t="shared" si="3"/>
        <v>1.3</v>
      </c>
      <c r="G95" s="605">
        <f t="shared" si="3"/>
        <v>1.6</v>
      </c>
      <c r="H95" s="605">
        <f>H104</f>
        <v>1.9000000000000001</v>
      </c>
    </row>
    <row r="96" spans="1:8" s="3" customFormat="1" ht="13.8" x14ac:dyDescent="0.3">
      <c r="A96" s="606">
        <f>A97-10</f>
        <v>386.45</v>
      </c>
      <c r="B96" s="607">
        <f>B105/C93*100</f>
        <v>83.79349186483104</v>
      </c>
      <c r="C96" s="607">
        <f>C105/C93*100</f>
        <v>-61.306633291614517</v>
      </c>
      <c r="D96" s="607">
        <f>D105/C93*100</f>
        <v>-32.286608260325409</v>
      </c>
      <c r="E96" s="607">
        <f>E105/C93*100</f>
        <v>-3.2665832290362982</v>
      </c>
      <c r="F96" s="607">
        <f>F105/C93*100</f>
        <v>25.753441802252812</v>
      </c>
      <c r="G96" s="607">
        <f>G105/C93*100</f>
        <v>54.773466833541939</v>
      </c>
      <c r="H96" s="607">
        <f>H105/C93*100</f>
        <v>83.79349186483104</v>
      </c>
    </row>
    <row r="97" spans="1:8" s="3" customFormat="1" ht="13.8" x14ac:dyDescent="0.3">
      <c r="A97" s="606">
        <f>A98-10</f>
        <v>396.45</v>
      </c>
      <c r="B97" s="607">
        <f>B106/C93*100</f>
        <v>88.549436795994993</v>
      </c>
      <c r="C97" s="607">
        <f>C106/C93*100</f>
        <v>-60.305381727158959</v>
      </c>
      <c r="D97" s="607">
        <f>D106/C93*100</f>
        <v>-30.534418022528165</v>
      </c>
      <c r="E97" s="607">
        <f>E106/C93*100</f>
        <v>-0.7634543178973745</v>
      </c>
      <c r="F97" s="607">
        <f>F106/C93*100</f>
        <v>29.007509386733414</v>
      </c>
      <c r="G97" s="607">
        <f>G106/C93*100</f>
        <v>58.778473091364212</v>
      </c>
      <c r="H97" s="607">
        <f>H106/C93*100</f>
        <v>88.549436795994993</v>
      </c>
    </row>
    <row r="98" spans="1:8" s="3" customFormat="1" ht="13.8" x14ac:dyDescent="0.3">
      <c r="A98" s="606">
        <f>A99-10</f>
        <v>406.45</v>
      </c>
      <c r="B98" s="607">
        <f>B107/C93*100</f>
        <v>93.305381727158945</v>
      </c>
      <c r="C98" s="607">
        <f>C107/C93*100</f>
        <v>-59.30413016270338</v>
      </c>
      <c r="D98" s="607">
        <f>D107/C93*100</f>
        <v>-28.782227784730917</v>
      </c>
      <c r="E98" s="607">
        <f>E107/C93*100</f>
        <v>1.7396745932415489</v>
      </c>
      <c r="F98" s="607">
        <f>F107/C93*100</f>
        <v>32.261576971214019</v>
      </c>
      <c r="G98" s="607">
        <f>G107/C93*100</f>
        <v>62.7834793491865</v>
      </c>
      <c r="H98" s="607">
        <f>H107/C93*100</f>
        <v>93.305381727158945</v>
      </c>
    </row>
    <row r="99" spans="1:8" s="3" customFormat="1" ht="18" x14ac:dyDescent="0.35">
      <c r="A99" s="608">
        <f>B83</f>
        <v>416.45</v>
      </c>
      <c r="B99" s="607">
        <f>B108/C93*100</f>
        <v>98.061326658322898</v>
      </c>
      <c r="C99" s="607">
        <f>C108/C93*100</f>
        <v>-58.302878598247808</v>
      </c>
      <c r="D99" s="607">
        <f>D108/C93*100</f>
        <v>-27.03003754693367</v>
      </c>
      <c r="E99" s="613">
        <f>E108/C93*100</f>
        <v>4.2428035043804728</v>
      </c>
      <c r="F99" s="607">
        <f>F108/C93*100</f>
        <v>35.515644555694614</v>
      </c>
      <c r="G99" s="607">
        <f>G108/C93*100</f>
        <v>66.788485607008781</v>
      </c>
      <c r="H99" s="607">
        <f>H108/C93*100</f>
        <v>98.061326658322898</v>
      </c>
    </row>
    <row r="100" spans="1:8" s="3" customFormat="1" ht="13.8" x14ac:dyDescent="0.3">
      <c r="A100" s="606">
        <f>A99+10</f>
        <v>426.45</v>
      </c>
      <c r="B100" s="609">
        <f>B109/C93*100</f>
        <v>102.81727158948686</v>
      </c>
      <c r="C100" s="609">
        <f>C109/C93*100</f>
        <v>-57.301627033792244</v>
      </c>
      <c r="D100" s="609">
        <f>D109/C93*100</f>
        <v>-25.277847309136426</v>
      </c>
      <c r="E100" s="609">
        <f>E109/C93*100</f>
        <v>6.7459324155193974</v>
      </c>
      <c r="F100" s="609">
        <f>F109/C93*100</f>
        <v>38.769712140175216</v>
      </c>
      <c r="G100" s="609">
        <f>G109/C93*100</f>
        <v>70.793491864831054</v>
      </c>
      <c r="H100" s="609">
        <f>H109/C93*100</f>
        <v>102.81727158948686</v>
      </c>
    </row>
    <row r="101" spans="1:8" s="3" customFormat="1" ht="13.8" x14ac:dyDescent="0.3">
      <c r="A101" s="606">
        <f>A100+10</f>
        <v>436.45</v>
      </c>
      <c r="B101" s="609">
        <f>B110/C93*100</f>
        <v>107.57321652065082</v>
      </c>
      <c r="C101" s="609">
        <f>C110/C93*100</f>
        <v>-56.300375469336672</v>
      </c>
      <c r="D101" s="609">
        <f>D110/C93*100</f>
        <v>-23.525657071339175</v>
      </c>
      <c r="E101" s="609">
        <f>E110/C93*100</f>
        <v>9.2490613266583193</v>
      </c>
      <c r="F101" s="609">
        <f>F110/C93*100</f>
        <v>42.023779724655817</v>
      </c>
      <c r="G101" s="609">
        <f>G110/C93*100</f>
        <v>74.798498122653328</v>
      </c>
      <c r="H101" s="609">
        <f>H110/C93*100</f>
        <v>107.57321652065082</v>
      </c>
    </row>
    <row r="102" spans="1:8" s="3" customFormat="1" ht="13.8" x14ac:dyDescent="0.3">
      <c r="A102" s="606">
        <f>A101+10</f>
        <v>446.45</v>
      </c>
      <c r="B102" s="609">
        <f>B111/C93*100</f>
        <v>112.32916145181477</v>
      </c>
      <c r="C102" s="609">
        <f>C111/C93*100</f>
        <v>-55.299123904881107</v>
      </c>
      <c r="D102" s="609">
        <f>D111/C93*100</f>
        <v>-21.773466833541928</v>
      </c>
      <c r="E102" s="609">
        <f>E111/C93*100</f>
        <v>11.752190237797244</v>
      </c>
      <c r="F102" s="609">
        <f>F111/C93*100</f>
        <v>45.277847309136419</v>
      </c>
      <c r="G102" s="609">
        <f>G111/C93*100</f>
        <v>78.803504380475601</v>
      </c>
      <c r="H102" s="609">
        <f>H111/C93*100</f>
        <v>112.32916145181477</v>
      </c>
    </row>
    <row r="103" spans="1:8" s="3" customFormat="1" ht="13.8" x14ac:dyDescent="0.3">
      <c r="A103" s="760" t="s">
        <v>404</v>
      </c>
      <c r="B103" s="760"/>
      <c r="C103" s="760"/>
      <c r="D103" s="760"/>
      <c r="E103" s="760"/>
      <c r="F103" s="760"/>
      <c r="G103" s="760"/>
      <c r="H103" s="760"/>
    </row>
    <row r="104" spans="1:8" s="3" customFormat="1" ht="13.8" x14ac:dyDescent="0.3">
      <c r="A104" s="605" t="s">
        <v>332</v>
      </c>
      <c r="B104" s="605">
        <v>1.9</v>
      </c>
      <c r="C104" s="605">
        <f>D104-0.3</f>
        <v>0.39999999999999997</v>
      </c>
      <c r="D104" s="605">
        <f>E104-0.3</f>
        <v>0.7</v>
      </c>
      <c r="E104" s="610">
        <f>B82</f>
        <v>1</v>
      </c>
      <c r="F104" s="605">
        <f>E104+0.3</f>
        <v>1.3</v>
      </c>
      <c r="G104" s="605">
        <f>F104+0.3</f>
        <v>1.6</v>
      </c>
      <c r="H104" s="605">
        <f>G104+0.3</f>
        <v>1.9000000000000001</v>
      </c>
    </row>
    <row r="105" spans="1:8" s="3" customFormat="1" x14ac:dyDescent="0.3">
      <c r="A105" s="606">
        <f>A106-10</f>
        <v>386.45</v>
      </c>
      <c r="B105" s="611">
        <f>(B104*A105)-C93</f>
        <v>334.755</v>
      </c>
      <c r="C105" s="611">
        <f>(C104*A105)-C93</f>
        <v>-244.92000000000002</v>
      </c>
      <c r="D105" s="611">
        <f>(D104*A105)-C93</f>
        <v>-128.98500000000001</v>
      </c>
      <c r="E105" s="611">
        <f>(E104*A105)-C93</f>
        <v>-13.050000000000011</v>
      </c>
      <c r="F105" s="611">
        <f>(F104*A105)-C93</f>
        <v>102.88499999999999</v>
      </c>
      <c r="G105" s="611">
        <f>(G104*A105)-C93</f>
        <v>218.82000000000005</v>
      </c>
      <c r="H105" s="611">
        <f>(H104*A105)-C93</f>
        <v>334.755</v>
      </c>
    </row>
    <row r="106" spans="1:8" s="3" customFormat="1" x14ac:dyDescent="0.3">
      <c r="A106" s="606">
        <f>A107-10</f>
        <v>396.45</v>
      </c>
      <c r="B106" s="611">
        <f>(B104*A106)-C93</f>
        <v>353.755</v>
      </c>
      <c r="C106" s="611">
        <f>(C104*A106)-C93</f>
        <v>-240.92000000000002</v>
      </c>
      <c r="D106" s="611">
        <f>(D104*A106)-C93</f>
        <v>-121.98500000000001</v>
      </c>
      <c r="E106" s="611">
        <f>(E104*A106)-C93</f>
        <v>-3.0500000000000114</v>
      </c>
      <c r="F106" s="611">
        <f>(F104*A106)-C93</f>
        <v>115.88499999999999</v>
      </c>
      <c r="G106" s="611">
        <f>(G104*A106)-C93</f>
        <v>234.82000000000005</v>
      </c>
      <c r="H106" s="611">
        <f>(H104*A106)-C93</f>
        <v>353.755</v>
      </c>
    </row>
    <row r="107" spans="1:8" s="3" customFormat="1" x14ac:dyDescent="0.3">
      <c r="A107" s="606">
        <f>A108-10</f>
        <v>406.45</v>
      </c>
      <c r="B107" s="611">
        <f>(A107*B104)-C93</f>
        <v>372.755</v>
      </c>
      <c r="C107" s="611">
        <f>(C104*A107)-C93</f>
        <v>-236.92000000000002</v>
      </c>
      <c r="D107" s="611">
        <f>(D104*A107)-C93</f>
        <v>-114.98500000000001</v>
      </c>
      <c r="E107" s="611">
        <f>(E104*A107)-C93</f>
        <v>6.9499999999999886</v>
      </c>
      <c r="F107" s="611">
        <f>(F104*A107)-C93</f>
        <v>128.88499999999999</v>
      </c>
      <c r="G107" s="611">
        <f>(G104*A107)-C93</f>
        <v>250.82000000000005</v>
      </c>
      <c r="H107" s="611">
        <f>(H104*A107)-C93</f>
        <v>372.755</v>
      </c>
    </row>
    <row r="108" spans="1:8" s="3" customFormat="1" ht="18" x14ac:dyDescent="0.35">
      <c r="A108" s="608">
        <f>B83</f>
        <v>416.45</v>
      </c>
      <c r="B108" s="611">
        <f>(A108*B104)-C93</f>
        <v>391.755</v>
      </c>
      <c r="C108" s="611">
        <f>(A108*C104)-C93</f>
        <v>-232.92000000000002</v>
      </c>
      <c r="D108" s="611">
        <f>(D104*A108)-C93</f>
        <v>-107.98500000000001</v>
      </c>
      <c r="E108" s="613">
        <f>(A108*E104)-C93</f>
        <v>16.949999999999989</v>
      </c>
      <c r="F108" s="611">
        <f>(A108*F104)-C93</f>
        <v>141.88499999999999</v>
      </c>
      <c r="G108" s="611">
        <f>(G104*A108)-C93</f>
        <v>266.82000000000005</v>
      </c>
      <c r="H108" s="611">
        <f>(H104*A108)-C93</f>
        <v>391.755</v>
      </c>
    </row>
    <row r="109" spans="1:8" s="3" customFormat="1" x14ac:dyDescent="0.3">
      <c r="A109" s="606">
        <f>A108+10</f>
        <v>426.45</v>
      </c>
      <c r="B109" s="611">
        <f>(A109*B104)-C93</f>
        <v>410.755</v>
      </c>
      <c r="C109" s="611">
        <f>(C104*A109)-C93</f>
        <v>-228.92000000000002</v>
      </c>
      <c r="D109" s="611">
        <f>(D104*A109)-C93</f>
        <v>-100.98500000000001</v>
      </c>
      <c r="E109" s="611">
        <f>(E104*A109)-C93</f>
        <v>26.949999999999989</v>
      </c>
      <c r="F109" s="611">
        <f>(F104*A109)-C93</f>
        <v>154.88499999999999</v>
      </c>
      <c r="G109" s="611">
        <f>(G104*A109)-C93</f>
        <v>282.82000000000005</v>
      </c>
      <c r="H109" s="611">
        <f>(H104*A109)-C93</f>
        <v>410.755</v>
      </c>
    </row>
    <row r="110" spans="1:8" s="3" customFormat="1" x14ac:dyDescent="0.3">
      <c r="A110" s="606">
        <f>A109+10</f>
        <v>436.45</v>
      </c>
      <c r="B110" s="611">
        <f>(A110*B104)-C93</f>
        <v>429.755</v>
      </c>
      <c r="C110" s="611">
        <f>(C104*A110)-C93</f>
        <v>-224.92000000000002</v>
      </c>
      <c r="D110" s="611">
        <f>(D104*A110)-C93</f>
        <v>-93.985000000000014</v>
      </c>
      <c r="E110" s="611">
        <f>(E104*A110)-C93</f>
        <v>36.949999999999989</v>
      </c>
      <c r="F110" s="611">
        <f>(F104*A110)-C93</f>
        <v>167.88499999999999</v>
      </c>
      <c r="G110" s="611">
        <f>(G104*A110)-C93</f>
        <v>298.82000000000005</v>
      </c>
      <c r="H110" s="611">
        <f>(H104*A110)-C93</f>
        <v>429.755</v>
      </c>
    </row>
    <row r="111" spans="1:8" x14ac:dyDescent="0.3">
      <c r="A111" s="606">
        <f>A110+10</f>
        <v>446.45</v>
      </c>
      <c r="B111" s="611">
        <f>(B104*A111)-C93</f>
        <v>448.755</v>
      </c>
      <c r="C111" s="611">
        <f>(C104*A111)-C93</f>
        <v>-220.92000000000002</v>
      </c>
      <c r="D111" s="611">
        <f>(D104*A111)-C93</f>
        <v>-86.985000000000014</v>
      </c>
      <c r="E111" s="611">
        <f>(E104*A111)-C93</f>
        <v>46.949999999999989</v>
      </c>
      <c r="F111" s="611">
        <f>(F104*A111)-C93</f>
        <v>180.88499999999999</v>
      </c>
      <c r="G111" s="611">
        <f>(G104*A111)-C93</f>
        <v>314.82000000000005</v>
      </c>
      <c r="H111" s="611">
        <f>(A111*H104)-C93</f>
        <v>448.755</v>
      </c>
    </row>
  </sheetData>
  <mergeCells count="16">
    <mergeCell ref="A81:C81"/>
    <mergeCell ref="A1:H1"/>
    <mergeCell ref="A93:B93"/>
    <mergeCell ref="A94:H94"/>
    <mergeCell ref="A103:H103"/>
    <mergeCell ref="C56:D56"/>
    <mergeCell ref="C75:D75"/>
    <mergeCell ref="C59:D59"/>
    <mergeCell ref="C62:D62"/>
    <mergeCell ref="C64:D64"/>
    <mergeCell ref="C20:D20"/>
    <mergeCell ref="C24:D24"/>
    <mergeCell ref="C27:D27"/>
    <mergeCell ref="C30:D30"/>
    <mergeCell ref="C36:D36"/>
    <mergeCell ref="C53:D53"/>
  </mergeCells>
  <pageMargins left="0.7" right="0.7" top="0.75" bottom="0.75" header="0.51180555555555551" footer="0.51180555555555551"/>
  <pageSetup scale="60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1"/>
  <sheetViews>
    <sheetView showGridLines="0" topLeftCell="A43" zoomScaleNormal="100" workbookViewId="0">
      <selection activeCell="F71" sqref="F71:K80"/>
    </sheetView>
  </sheetViews>
  <sheetFormatPr baseColWidth="10" defaultColWidth="10.6640625" defaultRowHeight="14.4" x14ac:dyDescent="0.3"/>
  <cols>
    <col min="1" max="1" width="31" style="1" customWidth="1"/>
    <col min="2" max="2" width="10.44140625" style="1" customWidth="1"/>
    <col min="3" max="3" width="11" style="1" customWidth="1"/>
    <col min="4" max="4" width="12.109375" style="2" bestFit="1" customWidth="1"/>
    <col min="5" max="5" width="11.33203125" style="1" customWidth="1"/>
    <col min="6" max="6" width="13.44140625" style="1" bestFit="1" customWidth="1"/>
    <col min="7" max="7" width="13.5546875" style="1" bestFit="1" customWidth="1"/>
    <col min="8" max="8" width="26" style="1" bestFit="1" customWidth="1"/>
    <col min="9" max="9" width="11.5546875" style="1" customWidth="1"/>
    <col min="10" max="10" width="13.6640625" style="1" bestFit="1" customWidth="1"/>
    <col min="11" max="16384" width="10.6640625" style="1"/>
  </cols>
  <sheetData>
    <row r="1" spans="1:11" s="3" customFormat="1" ht="21.6" thickBot="1" x14ac:dyDescent="0.45">
      <c r="A1" s="664" t="s">
        <v>376</v>
      </c>
      <c r="B1" s="665"/>
      <c r="C1" s="665"/>
      <c r="D1" s="665"/>
      <c r="E1" s="665"/>
      <c r="F1" s="665"/>
      <c r="G1" s="665"/>
      <c r="H1" s="666"/>
    </row>
    <row r="2" spans="1:11" s="3" customFormat="1" ht="13.8" x14ac:dyDescent="0.3">
      <c r="A2" s="5"/>
      <c r="B2" s="94"/>
      <c r="D2" s="17"/>
      <c r="H2" s="94"/>
    </row>
    <row r="3" spans="1:11" s="3" customFormat="1" ht="13.8" x14ac:dyDescent="0.3">
      <c r="A3" s="124" t="s">
        <v>237</v>
      </c>
      <c r="B3" s="614">
        <f>+'Trigo SP'!B3</f>
        <v>0</v>
      </c>
      <c r="D3" s="17"/>
      <c r="H3" s="94"/>
    </row>
    <row r="4" spans="1:11" s="3" customFormat="1" ht="13.8" x14ac:dyDescent="0.3">
      <c r="A4" s="26"/>
      <c r="B4" s="94"/>
      <c r="H4" s="94"/>
    </row>
    <row r="5" spans="1:11" s="3" customFormat="1" ht="14.4" customHeight="1" x14ac:dyDescent="0.3">
      <c r="A5" s="207"/>
      <c r="B5" s="8"/>
      <c r="C5" s="7"/>
      <c r="D5" s="4" t="s">
        <v>245</v>
      </c>
      <c r="E5" s="9"/>
      <c r="G5" s="9"/>
      <c r="J5" s="3" t="s">
        <v>244</v>
      </c>
    </row>
    <row r="6" spans="1:11" s="3" customFormat="1" ht="14.4" customHeight="1" x14ac:dyDescent="0.3">
      <c r="A6" s="208" t="s">
        <v>204</v>
      </c>
      <c r="B6" s="11"/>
      <c r="C6" s="12"/>
      <c r="D6" s="13"/>
      <c r="E6" s="14"/>
      <c r="F6" s="15"/>
    </row>
    <row r="7" spans="1:11" s="3" customFormat="1" ht="14.4" customHeight="1" x14ac:dyDescent="0.3">
      <c r="A7" s="209" t="s">
        <v>246</v>
      </c>
      <c r="B7" s="169">
        <v>0</v>
      </c>
      <c r="C7" s="18" t="s">
        <v>247</v>
      </c>
      <c r="D7" s="160">
        <f>Cotizaciones!F8</f>
        <v>0</v>
      </c>
      <c r="E7" s="160">
        <f t="shared" ref="E7:E16" si="0">B7*D7</f>
        <v>0</v>
      </c>
      <c r="K7" s="3">
        <f>+E7*$B$3</f>
        <v>0</v>
      </c>
    </row>
    <row r="8" spans="1:11" s="3" customFormat="1" ht="14.4" customHeight="1" x14ac:dyDescent="0.3">
      <c r="A8" s="209" t="s">
        <v>250</v>
      </c>
      <c r="B8" s="169">
        <v>0</v>
      </c>
      <c r="C8" s="18" t="s">
        <v>247</v>
      </c>
      <c r="D8" s="160">
        <f>Cotizaciones!F18</f>
        <v>17</v>
      </c>
      <c r="E8" s="160">
        <f t="shared" si="0"/>
        <v>0</v>
      </c>
      <c r="K8" s="3">
        <f t="shared" ref="K8:K17" si="1">+E8*$B$3</f>
        <v>0</v>
      </c>
    </row>
    <row r="9" spans="1:11" s="3" customFormat="1" ht="13.8" x14ac:dyDescent="0.3">
      <c r="A9" s="209" t="s">
        <v>251</v>
      </c>
      <c r="B9" s="169">
        <v>0</v>
      </c>
      <c r="C9" s="18" t="s">
        <v>247</v>
      </c>
      <c r="D9" s="160">
        <v>6.5</v>
      </c>
      <c r="E9" s="160">
        <f t="shared" si="0"/>
        <v>0</v>
      </c>
      <c r="K9" s="3">
        <f t="shared" si="1"/>
        <v>0</v>
      </c>
    </row>
    <row r="10" spans="1:11" s="3" customFormat="1" ht="13.8" x14ac:dyDescent="0.3">
      <c r="A10" s="209" t="s">
        <v>345</v>
      </c>
      <c r="B10" s="169">
        <v>1</v>
      </c>
      <c r="C10" s="18" t="s">
        <v>247</v>
      </c>
      <c r="D10" s="564">
        <v>55</v>
      </c>
      <c r="E10" s="160">
        <f t="shared" si="0"/>
        <v>55</v>
      </c>
      <c r="H10" s="93">
        <v>41245</v>
      </c>
      <c r="J10" s="3" t="s">
        <v>268</v>
      </c>
      <c r="K10" s="3">
        <f t="shared" si="1"/>
        <v>0</v>
      </c>
    </row>
    <row r="11" spans="1:11" s="3" customFormat="1" ht="13.8" x14ac:dyDescent="0.3">
      <c r="A11" s="209" t="s">
        <v>346</v>
      </c>
      <c r="B11" s="169">
        <v>1</v>
      </c>
      <c r="C11" s="18" t="s">
        <v>247</v>
      </c>
      <c r="D11" s="564">
        <v>6.5</v>
      </c>
      <c r="E11" s="160">
        <f t="shared" si="0"/>
        <v>6.5</v>
      </c>
      <c r="H11" s="93">
        <v>40909</v>
      </c>
      <c r="I11" s="93"/>
      <c r="J11" s="3" t="s">
        <v>268</v>
      </c>
      <c r="K11" s="3">
        <f t="shared" si="1"/>
        <v>0</v>
      </c>
    </row>
    <row r="12" spans="1:11" s="3" customFormat="1" ht="13.8" x14ac:dyDescent="0.3">
      <c r="A12" s="209" t="s">
        <v>346</v>
      </c>
      <c r="B12" s="169">
        <v>1</v>
      </c>
      <c r="C12" s="18"/>
      <c r="D12" s="564">
        <v>6.5</v>
      </c>
      <c r="E12" s="160">
        <f t="shared" si="0"/>
        <v>6.5</v>
      </c>
      <c r="H12" s="93"/>
      <c r="I12" s="93"/>
      <c r="J12" s="3" t="s">
        <v>347</v>
      </c>
      <c r="K12" s="3">
        <f t="shared" si="1"/>
        <v>0</v>
      </c>
    </row>
    <row r="13" spans="1:11" s="3" customFormat="1" ht="13.8" x14ac:dyDescent="0.3">
      <c r="A13" s="209" t="s">
        <v>348</v>
      </c>
      <c r="B13" s="169">
        <v>1</v>
      </c>
      <c r="C13" s="18" t="s">
        <v>247</v>
      </c>
      <c r="D13" s="564">
        <v>6.5</v>
      </c>
      <c r="E13" s="160">
        <f t="shared" si="0"/>
        <v>6.5</v>
      </c>
      <c r="H13" s="93">
        <v>40941</v>
      </c>
      <c r="J13" s="3" t="s">
        <v>347</v>
      </c>
      <c r="K13" s="3">
        <f t="shared" si="1"/>
        <v>0</v>
      </c>
    </row>
    <row r="14" spans="1:11" s="3" customFormat="1" ht="13.8" x14ac:dyDescent="0.3">
      <c r="A14" s="209" t="s">
        <v>262</v>
      </c>
      <c r="B14" s="169">
        <v>0</v>
      </c>
      <c r="C14" s="18" t="s">
        <v>247</v>
      </c>
      <c r="D14" s="160">
        <f>Cotizaciones!F15</f>
        <v>1</v>
      </c>
      <c r="E14" s="160">
        <f t="shared" si="0"/>
        <v>0</v>
      </c>
      <c r="J14" s="536" t="s">
        <v>347</v>
      </c>
      <c r="K14" s="3">
        <f t="shared" si="1"/>
        <v>0</v>
      </c>
    </row>
    <row r="15" spans="1:11" s="3" customFormat="1" ht="13.8" x14ac:dyDescent="0.3">
      <c r="A15" s="209" t="s">
        <v>263</v>
      </c>
      <c r="B15" s="169">
        <v>0</v>
      </c>
      <c r="C15" s="18" t="s">
        <v>247</v>
      </c>
      <c r="D15" s="160">
        <f>Cotizaciones!F5</f>
        <v>0</v>
      </c>
      <c r="E15" s="160">
        <f t="shared" si="0"/>
        <v>0</v>
      </c>
      <c r="J15" s="536" t="s">
        <v>347</v>
      </c>
      <c r="K15" s="3">
        <f t="shared" si="1"/>
        <v>0</v>
      </c>
    </row>
    <row r="16" spans="1:11" s="3" customFormat="1" ht="13.8" x14ac:dyDescent="0.3">
      <c r="A16" s="209" t="s">
        <v>264</v>
      </c>
      <c r="B16" s="169">
        <v>0</v>
      </c>
      <c r="C16" s="18" t="s">
        <v>247</v>
      </c>
      <c r="D16" s="160">
        <f>Cotizaciones!F13</f>
        <v>0</v>
      </c>
      <c r="E16" s="160">
        <f t="shared" si="0"/>
        <v>0</v>
      </c>
      <c r="J16" s="536" t="s">
        <v>347</v>
      </c>
      <c r="K16" s="3">
        <f t="shared" si="1"/>
        <v>0</v>
      </c>
    </row>
    <row r="17" spans="1:11" s="3" customFormat="1" ht="13.8" x14ac:dyDescent="0.3">
      <c r="A17" s="209" t="s">
        <v>377</v>
      </c>
      <c r="B17" s="169">
        <v>0</v>
      </c>
      <c r="C17" s="18" t="s">
        <v>247</v>
      </c>
      <c r="D17" s="160">
        <f>+'Soja 2da. C'!D17</f>
        <v>0</v>
      </c>
      <c r="E17" s="160">
        <f>(B21*D17)/1000</f>
        <v>0</v>
      </c>
      <c r="H17" s="93">
        <v>41244</v>
      </c>
      <c r="J17" s="3" t="s">
        <v>268</v>
      </c>
      <c r="K17" s="3">
        <f t="shared" si="1"/>
        <v>0</v>
      </c>
    </row>
    <row r="18" spans="1:11" s="3" customFormat="1" ht="15" customHeight="1" x14ac:dyDescent="0.3">
      <c r="A18" s="210"/>
      <c r="B18" s="20"/>
      <c r="C18" s="667" t="s">
        <v>265</v>
      </c>
      <c r="D18" s="667"/>
      <c r="E18" s="141">
        <f>SUM(E7:E17)</f>
        <v>74.5</v>
      </c>
      <c r="F18" s="159">
        <f>E18/E56</f>
        <v>0.1841097244532312</v>
      </c>
      <c r="G18" s="21">
        <f>E18*B3</f>
        <v>0</v>
      </c>
      <c r="K18" s="3">
        <f>SUM(K7:K17)</f>
        <v>0</v>
      </c>
    </row>
    <row r="19" spans="1:11" s="3" customFormat="1" ht="13.8" x14ac:dyDescent="0.3">
      <c r="A19" s="208" t="s">
        <v>205</v>
      </c>
      <c r="B19" s="23"/>
      <c r="C19" s="12"/>
      <c r="D19" s="24"/>
      <c r="E19" s="25"/>
      <c r="F19" s="15"/>
    </row>
    <row r="20" spans="1:11" s="3" customFormat="1" ht="13.8" x14ac:dyDescent="0.3">
      <c r="A20" s="211"/>
      <c r="B20" s="27"/>
      <c r="C20" s="18"/>
      <c r="D20" s="28"/>
      <c r="E20" s="29"/>
    </row>
    <row r="21" spans="1:11" s="3" customFormat="1" ht="13.8" x14ac:dyDescent="0.3">
      <c r="A21" s="212" t="s">
        <v>349</v>
      </c>
      <c r="B21" s="169">
        <v>90</v>
      </c>
      <c r="C21" s="18" t="s">
        <v>350</v>
      </c>
      <c r="D21" s="161">
        <f>+Cotizaciones!E45/40</f>
        <v>0.875</v>
      </c>
      <c r="E21" s="162">
        <f>B21*D21</f>
        <v>78.75</v>
      </c>
      <c r="H21" s="93">
        <v>41215</v>
      </c>
      <c r="J21" s="3" t="s">
        <v>268</v>
      </c>
    </row>
    <row r="22" spans="1:11" s="3" customFormat="1" ht="13.8" x14ac:dyDescent="0.3">
      <c r="A22" s="212"/>
      <c r="B22" s="30"/>
      <c r="C22" s="667" t="s">
        <v>270</v>
      </c>
      <c r="D22" s="667"/>
      <c r="E22" s="141">
        <f>SUM(E21:E21)</f>
        <v>78.75</v>
      </c>
      <c r="F22" s="159">
        <f>E22/E56</f>
        <v>0.19461262819720748</v>
      </c>
      <c r="G22" s="21">
        <f>E22*B3</f>
        <v>0</v>
      </c>
    </row>
    <row r="23" spans="1:11" s="3" customFormat="1" ht="13.8" x14ac:dyDescent="0.3">
      <c r="A23" s="212"/>
      <c r="B23" s="27"/>
      <c r="C23" s="18"/>
      <c r="D23" s="28"/>
      <c r="E23" s="29"/>
    </row>
    <row r="24" spans="1:11" s="3" customFormat="1" ht="13.8" x14ac:dyDescent="0.3">
      <c r="A24" s="208" t="s">
        <v>206</v>
      </c>
      <c r="B24" s="11">
        <v>0.2</v>
      </c>
      <c r="C24" s="12" t="s">
        <v>247</v>
      </c>
      <c r="D24" s="13">
        <f>+'Resumen Proy'!C57</f>
        <v>426</v>
      </c>
      <c r="E24" s="172">
        <f>B24*D24</f>
        <v>85.2</v>
      </c>
      <c r="F24" s="15"/>
    </row>
    <row r="25" spans="1:11" s="3" customFormat="1" ht="13.8" x14ac:dyDescent="0.3">
      <c r="A25" s="212"/>
      <c r="B25" s="27"/>
      <c r="C25" s="754" t="s">
        <v>271</v>
      </c>
      <c r="D25" s="754"/>
      <c r="E25" s="176">
        <f>E24</f>
        <v>85.2</v>
      </c>
      <c r="F25" s="22">
        <f>E25/E56</f>
        <v>0.21055232917335973</v>
      </c>
    </row>
    <row r="26" spans="1:11" s="3" customFormat="1" ht="13.8" x14ac:dyDescent="0.3">
      <c r="A26" s="212"/>
      <c r="B26" s="27"/>
      <c r="C26" s="18"/>
      <c r="D26" s="28"/>
      <c r="E26" s="29"/>
    </row>
    <row r="27" spans="1:11" s="3" customFormat="1" ht="13.8" x14ac:dyDescent="0.3">
      <c r="A27" s="208" t="s">
        <v>207</v>
      </c>
      <c r="B27" s="281">
        <v>10</v>
      </c>
      <c r="C27" s="12" t="s">
        <v>272</v>
      </c>
      <c r="D27" s="173">
        <f>B27</f>
        <v>10</v>
      </c>
      <c r="E27" s="174">
        <f>D27</f>
        <v>10</v>
      </c>
      <c r="F27" s="15"/>
    </row>
    <row r="28" spans="1:11" s="3" customFormat="1" ht="13.8" x14ac:dyDescent="0.3">
      <c r="A28" s="212"/>
      <c r="B28" s="27"/>
      <c r="C28" s="754" t="s">
        <v>273</v>
      </c>
      <c r="D28" s="754"/>
      <c r="E28" s="141">
        <f>E27</f>
        <v>10</v>
      </c>
      <c r="F28" s="22"/>
    </row>
    <row r="29" spans="1:11" s="3" customFormat="1" ht="13.8" x14ac:dyDescent="0.3">
      <c r="A29" s="212"/>
      <c r="B29" s="27"/>
      <c r="C29" s="7"/>
      <c r="D29" s="7"/>
      <c r="E29" s="33"/>
    </row>
    <row r="30" spans="1:11" s="3" customFormat="1" ht="13.8" x14ac:dyDescent="0.3">
      <c r="A30" s="208" t="s">
        <v>140</v>
      </c>
      <c r="B30" s="23"/>
      <c r="C30" s="12"/>
      <c r="D30" s="24"/>
      <c r="E30" s="25"/>
      <c r="F30" s="15"/>
    </row>
    <row r="31" spans="1:11" s="3" customFormat="1" ht="13.8" x14ac:dyDescent="0.3">
      <c r="A31" s="212" t="s">
        <v>351</v>
      </c>
      <c r="B31" s="170">
        <v>0</v>
      </c>
      <c r="C31" s="18" t="s">
        <v>275</v>
      </c>
      <c r="D31" s="259">
        <v>0</v>
      </c>
      <c r="E31" s="146">
        <f>B31*D31</f>
        <v>0</v>
      </c>
    </row>
    <row r="32" spans="1:11" s="3" customFormat="1" ht="13.8" x14ac:dyDescent="0.3">
      <c r="A32" s="212" t="s">
        <v>20</v>
      </c>
      <c r="B32" s="170">
        <v>0</v>
      </c>
      <c r="C32" s="18" t="s">
        <v>275</v>
      </c>
      <c r="D32" s="259">
        <v>0</v>
      </c>
      <c r="E32" s="146">
        <f>B32*D32</f>
        <v>0</v>
      </c>
    </row>
    <row r="33" spans="1:10" s="3" customFormat="1" ht="13.8" x14ac:dyDescent="0.3">
      <c r="A33" s="212"/>
      <c r="B33" s="30"/>
      <c r="C33" s="667" t="s">
        <v>280</v>
      </c>
      <c r="D33" s="667"/>
      <c r="E33" s="176">
        <f>SUM(E31:E32)</f>
        <v>0</v>
      </c>
      <c r="F33" s="22"/>
    </row>
    <row r="34" spans="1:10" s="3" customFormat="1" ht="13.8" x14ac:dyDescent="0.3">
      <c r="A34" s="208" t="s">
        <v>118</v>
      </c>
      <c r="B34" s="23"/>
      <c r="C34" s="12"/>
      <c r="D34" s="24"/>
      <c r="E34" s="25"/>
      <c r="F34" s="15"/>
    </row>
    <row r="35" spans="1:10" s="3" customFormat="1" ht="13.8" x14ac:dyDescent="0.3">
      <c r="A35" s="212" t="s">
        <v>145</v>
      </c>
      <c r="B35" s="169">
        <v>1</v>
      </c>
      <c r="C35" s="18" t="s">
        <v>283</v>
      </c>
      <c r="D35" s="146">
        <f>Cotizaciones!I6</f>
        <v>3</v>
      </c>
      <c r="E35" s="146">
        <f>B35*D35</f>
        <v>3</v>
      </c>
      <c r="H35" s="3" t="str">
        <f>A13</f>
        <v>Aplicación terrestre Insecticida</v>
      </c>
      <c r="J35" s="3" t="s">
        <v>352</v>
      </c>
    </row>
    <row r="36" spans="1:10" s="3" customFormat="1" ht="13.8" x14ac:dyDescent="0.3">
      <c r="A36" s="212" t="s">
        <v>124</v>
      </c>
      <c r="B36" s="171">
        <v>0</v>
      </c>
      <c r="C36" s="18" t="s">
        <v>283</v>
      </c>
      <c r="D36" s="146">
        <f>Cotizaciones!I21</f>
        <v>12</v>
      </c>
      <c r="E36" s="146">
        <f>B36*D36</f>
        <v>0</v>
      </c>
      <c r="H36" s="3" t="str">
        <f>A11</f>
        <v>Pulverizacion Herbicida</v>
      </c>
      <c r="J36" s="3" t="s">
        <v>352</v>
      </c>
    </row>
    <row r="37" spans="1:10" s="3" customFormat="1" ht="13.8" x14ac:dyDescent="0.3">
      <c r="A37" s="212" t="s">
        <v>494</v>
      </c>
      <c r="B37" s="171">
        <v>0</v>
      </c>
      <c r="C37" s="18" t="s">
        <v>283</v>
      </c>
      <c r="D37" s="146">
        <f>+Cotizaciones!I52</f>
        <v>19</v>
      </c>
      <c r="E37" s="146">
        <f>B37*D37</f>
        <v>0</v>
      </c>
      <c r="H37" s="3" t="str">
        <f>H36</f>
        <v>Pulverizacion Herbicida</v>
      </c>
      <c r="J37" s="3" t="s">
        <v>352</v>
      </c>
    </row>
    <row r="38" spans="1:10" s="3" customFormat="1" ht="13.8" x14ac:dyDescent="0.3">
      <c r="A38" s="212" t="s">
        <v>353</v>
      </c>
      <c r="B38" s="171">
        <f>B21/2500</f>
        <v>3.5999999999999997E-2</v>
      </c>
      <c r="C38" s="18" t="s">
        <v>378</v>
      </c>
      <c r="D38" s="146">
        <f>Cotizaciones!I29</f>
        <v>250</v>
      </c>
      <c r="E38" s="146">
        <f>(D38*B38)</f>
        <v>9</v>
      </c>
      <c r="H38" s="3" t="str">
        <f>A10</f>
        <v>Siembra Directa</v>
      </c>
      <c r="J38" s="3" t="s">
        <v>268</v>
      </c>
    </row>
    <row r="39" spans="1:10" s="3" customFormat="1" ht="13.8" x14ac:dyDescent="0.3">
      <c r="A39" s="212" t="s">
        <v>127</v>
      </c>
      <c r="B39" s="171">
        <v>4</v>
      </c>
      <c r="C39" s="18" t="s">
        <v>283</v>
      </c>
      <c r="D39" s="145">
        <f>+Cotizaciones!I43</f>
        <v>4.5</v>
      </c>
      <c r="E39" s="146">
        <f t="shared" ref="E39:E44" si="2">B39*D39</f>
        <v>18</v>
      </c>
      <c r="H39" s="3" t="str">
        <f>H36</f>
        <v>Pulverizacion Herbicida</v>
      </c>
      <c r="J39" s="3" t="s">
        <v>352</v>
      </c>
    </row>
    <row r="40" spans="1:10" s="3" customFormat="1" ht="13.8" x14ac:dyDescent="0.3">
      <c r="A40" s="212" t="s">
        <v>7</v>
      </c>
      <c r="B40" s="171">
        <v>2</v>
      </c>
      <c r="C40" s="18" t="s">
        <v>283</v>
      </c>
      <c r="D40" s="146">
        <f>Cotizaciones!I5</f>
        <v>4.5999999999999996</v>
      </c>
      <c r="E40" s="146">
        <f t="shared" si="2"/>
        <v>9.1999999999999993</v>
      </c>
    </row>
    <row r="41" spans="1:10" s="3" customFormat="1" ht="13.8" x14ac:dyDescent="0.3">
      <c r="A41" s="212" t="s">
        <v>48</v>
      </c>
      <c r="B41" s="171">
        <v>0</v>
      </c>
      <c r="C41" s="18" t="s">
        <v>283</v>
      </c>
      <c r="D41" s="146">
        <f>Cotizaciones!I18</f>
        <v>22.05</v>
      </c>
      <c r="E41" s="146">
        <f t="shared" si="2"/>
        <v>0</v>
      </c>
    </row>
    <row r="42" spans="1:10" s="3" customFormat="1" ht="13.8" x14ac:dyDescent="0.3">
      <c r="A42" s="212" t="s">
        <v>507</v>
      </c>
      <c r="B42" s="171">
        <v>0.15</v>
      </c>
      <c r="C42" s="18" t="s">
        <v>283</v>
      </c>
      <c r="D42" s="146">
        <f>Cotizaciones!I15</f>
        <v>20</v>
      </c>
      <c r="E42" s="146">
        <f t="shared" si="2"/>
        <v>3</v>
      </c>
      <c r="H42" s="3" t="str">
        <f>H35</f>
        <v>Aplicación terrestre Insecticida</v>
      </c>
      <c r="J42" s="3" t="s">
        <v>347</v>
      </c>
    </row>
    <row r="43" spans="1:10" s="3" customFormat="1" ht="13.8" x14ac:dyDescent="0.3">
      <c r="A43" s="212" t="s">
        <v>508</v>
      </c>
      <c r="B43" s="171">
        <v>0</v>
      </c>
      <c r="C43" s="18" t="s">
        <v>283</v>
      </c>
      <c r="D43" s="146">
        <f>+Cotizaciones!I51</f>
        <v>7.2</v>
      </c>
      <c r="E43" s="146">
        <f t="shared" si="2"/>
        <v>0</v>
      </c>
      <c r="H43" s="3" t="str">
        <f>H35</f>
        <v>Aplicación terrestre Insecticida</v>
      </c>
      <c r="J43" s="3" t="s">
        <v>347</v>
      </c>
    </row>
    <row r="44" spans="1:10" s="3" customFormat="1" ht="13.8" x14ac:dyDescent="0.3">
      <c r="A44" s="212" t="s">
        <v>498</v>
      </c>
      <c r="B44" s="171">
        <v>0.16</v>
      </c>
      <c r="C44" s="18" t="s">
        <v>283</v>
      </c>
      <c r="D44" s="146">
        <f>Cotizaciones!I30</f>
        <v>100</v>
      </c>
      <c r="E44" s="146">
        <f t="shared" si="2"/>
        <v>16</v>
      </c>
      <c r="J44" s="3" t="s">
        <v>347</v>
      </c>
    </row>
    <row r="45" spans="1:10" s="3" customFormat="1" ht="13.8" x14ac:dyDescent="0.3">
      <c r="A45" s="212"/>
      <c r="B45" s="30"/>
      <c r="C45" s="667" t="s">
        <v>288</v>
      </c>
      <c r="D45" s="667"/>
      <c r="E45" s="176">
        <f>SUM(E35:E44)</f>
        <v>58.2</v>
      </c>
      <c r="F45" s="22">
        <f>E45/E56</f>
        <v>0.14382799950574573</v>
      </c>
      <c r="G45" s="21">
        <f>E45*B3</f>
        <v>0</v>
      </c>
    </row>
    <row r="46" spans="1:10" s="3" customFormat="1" ht="13.8" x14ac:dyDescent="0.3">
      <c r="A46" s="212"/>
      <c r="B46" s="27"/>
      <c r="C46" s="18"/>
      <c r="D46" s="28"/>
      <c r="E46" s="29"/>
    </row>
    <row r="47" spans="1:10" s="3" customFormat="1" ht="13.8" x14ac:dyDescent="0.3">
      <c r="A47" s="208" t="s">
        <v>289</v>
      </c>
      <c r="B47" s="11">
        <v>1</v>
      </c>
      <c r="C47" s="12"/>
      <c r="D47" s="254">
        <v>90</v>
      </c>
      <c r="E47" s="260">
        <f>+D47*B47</f>
        <v>90</v>
      </c>
      <c r="F47" s="15"/>
      <c r="H47" s="93">
        <v>41031</v>
      </c>
    </row>
    <row r="48" spans="1:10" s="3" customFormat="1" ht="13.8" x14ac:dyDescent="0.3">
      <c r="A48" s="213"/>
      <c r="B48" s="36"/>
      <c r="C48" s="754" t="s">
        <v>379</v>
      </c>
      <c r="D48" s="754"/>
      <c r="E48" s="176">
        <f>E47</f>
        <v>90</v>
      </c>
      <c r="F48" s="22">
        <f>E48/E56</f>
        <v>0.22241443222537996</v>
      </c>
      <c r="G48" s="21">
        <f>E48*B3</f>
        <v>0</v>
      </c>
    </row>
    <row r="50" spans="1:7" s="3" customFormat="1" ht="13.8" x14ac:dyDescent="0.3">
      <c r="A50" s="208" t="s">
        <v>292</v>
      </c>
      <c r="B50" s="182">
        <v>2.5</v>
      </c>
      <c r="C50" s="12" t="s">
        <v>241</v>
      </c>
      <c r="D50" s="177">
        <v>8</v>
      </c>
      <c r="E50" s="178">
        <f>D50</f>
        <v>8</v>
      </c>
      <c r="F50" s="15"/>
    </row>
    <row r="51" spans="1:7" s="3" customFormat="1" ht="13.8" x14ac:dyDescent="0.3">
      <c r="A51" s="213"/>
      <c r="B51" s="180"/>
      <c r="C51" s="754" t="s">
        <v>293</v>
      </c>
      <c r="D51" s="754"/>
      <c r="E51" s="176">
        <f>E50</f>
        <v>8</v>
      </c>
      <c r="F51" s="22">
        <f>E51/E56</f>
        <v>1.9770171753367108E-2</v>
      </c>
      <c r="G51" s="21">
        <f>E51*B3</f>
        <v>0</v>
      </c>
    </row>
    <row r="52" spans="1:7" s="3" customFormat="1" ht="13.8" x14ac:dyDescent="0.3">
      <c r="A52" s="213"/>
      <c r="B52" s="180"/>
      <c r="C52" s="7"/>
      <c r="D52" s="7"/>
      <c r="E52" s="38"/>
    </row>
    <row r="53" spans="1:7" s="3" customFormat="1" ht="13.8" x14ac:dyDescent="0.3">
      <c r="A53" s="208" t="s">
        <v>294</v>
      </c>
      <c r="B53" s="182">
        <v>0</v>
      </c>
      <c r="C53" s="12" t="s">
        <v>295</v>
      </c>
      <c r="D53" s="177">
        <v>0</v>
      </c>
      <c r="E53" s="178">
        <f>(E45+E33+E25+E18)*D53/100</f>
        <v>0</v>
      </c>
      <c r="F53" s="15"/>
    </row>
    <row r="54" spans="1:7" s="3" customFormat="1" ht="13.8" x14ac:dyDescent="0.3">
      <c r="A54" s="212"/>
      <c r="B54" s="27"/>
      <c r="C54" s="754" t="s">
        <v>296</v>
      </c>
      <c r="D54" s="754"/>
      <c r="E54" s="176"/>
      <c r="F54" s="22"/>
    </row>
    <row r="55" spans="1:7" s="3" customFormat="1" ht="13.8" x14ac:dyDescent="0.3">
      <c r="A55" s="212"/>
      <c r="B55" s="27"/>
      <c r="C55" s="7"/>
      <c r="D55" s="7"/>
      <c r="E55" s="38"/>
    </row>
    <row r="56" spans="1:7" s="3" customFormat="1" ht="13.8" x14ac:dyDescent="0.3">
      <c r="A56" s="212"/>
      <c r="B56" s="27"/>
      <c r="C56" s="667" t="s">
        <v>317</v>
      </c>
      <c r="D56" s="667"/>
      <c r="E56" s="176">
        <f>E18+E22+E25+E28+E33+E45+E48+E51+E54</f>
        <v>404.65</v>
      </c>
      <c r="F56" s="22">
        <f>F51+F67+F48+F45+F22+F18+F25</f>
        <v>0.97528728530829123</v>
      </c>
    </row>
    <row r="57" spans="1:7" s="3" customFormat="1" ht="13.8" x14ac:dyDescent="0.3">
      <c r="A57" s="30"/>
      <c r="B57" s="27"/>
      <c r="C57" s="565"/>
      <c r="D57" s="565"/>
      <c r="E57" s="176"/>
      <c r="F57" s="22"/>
    </row>
    <row r="58" spans="1:7" s="3" customFormat="1" ht="13.8" x14ac:dyDescent="0.3">
      <c r="A58" s="208" t="s">
        <v>300</v>
      </c>
      <c r="B58" s="23"/>
      <c r="C58" s="12"/>
      <c r="D58" s="24"/>
      <c r="E58" s="25"/>
      <c r="F58" s="15"/>
    </row>
    <row r="59" spans="1:7" s="3" customFormat="1" ht="13.8" x14ac:dyDescent="0.3">
      <c r="A59" s="213" t="s">
        <v>301</v>
      </c>
      <c r="B59" s="181">
        <v>0</v>
      </c>
      <c r="C59" s="18" t="s">
        <v>302</v>
      </c>
      <c r="D59" s="145">
        <f>Cotizaciones!E24</f>
        <v>0</v>
      </c>
      <c r="E59" s="146">
        <f>D59*B59*B73</f>
        <v>0</v>
      </c>
      <c r="F59" s="94"/>
    </row>
    <row r="60" spans="1:7" s="3" customFormat="1" ht="13.8" x14ac:dyDescent="0.3">
      <c r="A60" s="213" t="s">
        <v>303</v>
      </c>
      <c r="B60" s="181">
        <v>0</v>
      </c>
      <c r="C60" s="18" t="s">
        <v>355</v>
      </c>
      <c r="D60" s="145">
        <f>Cotizaciones!I41/210</f>
        <v>1.9523809523809523</v>
      </c>
      <c r="E60" s="146">
        <f>D60*B60*B74</f>
        <v>0</v>
      </c>
      <c r="F60" s="94"/>
    </row>
    <row r="61" spans="1:7" s="3" customFormat="1" ht="13.8" x14ac:dyDescent="0.3">
      <c r="A61" s="213" t="s">
        <v>305</v>
      </c>
      <c r="B61" s="181">
        <v>1</v>
      </c>
      <c r="C61" s="18" t="s">
        <v>302</v>
      </c>
      <c r="D61" s="146">
        <f>Cotizaciones!F33</f>
        <v>3</v>
      </c>
      <c r="E61" s="146">
        <f>+D61*B61*$B$73</f>
        <v>3.9000000000000004</v>
      </c>
      <c r="F61" s="94"/>
    </row>
    <row r="62" spans="1:7" s="3" customFormat="1" ht="13.8" x14ac:dyDescent="0.3">
      <c r="A62" s="213" t="s">
        <v>306</v>
      </c>
      <c r="B62" s="181">
        <v>0.8</v>
      </c>
      <c r="C62" s="18" t="s">
        <v>302</v>
      </c>
      <c r="D62" s="146">
        <f>Cotizaciones!F35</f>
        <v>5</v>
      </c>
      <c r="E62" s="146">
        <f>+D62*B62*$B$73</f>
        <v>5.2</v>
      </c>
      <c r="F62" s="94"/>
    </row>
    <row r="63" spans="1:7" s="3" customFormat="1" ht="13.8" x14ac:dyDescent="0.3">
      <c r="A63" s="213" t="s">
        <v>83</v>
      </c>
      <c r="B63" s="181">
        <v>0.8</v>
      </c>
      <c r="C63" s="18" t="s">
        <v>302</v>
      </c>
      <c r="D63" s="146">
        <f>+Cotizaciones!F36</f>
        <v>6.5</v>
      </c>
      <c r="E63" s="146">
        <f>+D63*B63*$B$73</f>
        <v>6.7600000000000007</v>
      </c>
      <c r="F63" s="94"/>
    </row>
    <row r="64" spans="1:7" s="3" customFormat="1" ht="13.8" x14ac:dyDescent="0.3">
      <c r="A64" s="213" t="s">
        <v>307</v>
      </c>
      <c r="B64" s="181">
        <v>1</v>
      </c>
      <c r="C64" s="18" t="s">
        <v>302</v>
      </c>
      <c r="D64" s="146">
        <f>+Cotizaciones!E5/Cotizaciones!M20</f>
        <v>0.53083472598960413</v>
      </c>
      <c r="E64" s="146">
        <f>+D64*B64*$B$73</f>
        <v>0.69008514378648544</v>
      </c>
      <c r="F64" s="94"/>
    </row>
    <row r="65" spans="1:11" s="3" customFormat="1" ht="13.8" x14ac:dyDescent="0.3">
      <c r="A65" s="213" t="s">
        <v>308</v>
      </c>
      <c r="B65" s="181">
        <v>1</v>
      </c>
      <c r="C65" s="18" t="s">
        <v>302</v>
      </c>
      <c r="D65" s="521">
        <f>+'Soja 2da. C'!D66</f>
        <v>20</v>
      </c>
      <c r="E65" s="146">
        <f>+D65*B65*$B$73</f>
        <v>26</v>
      </c>
      <c r="F65" s="94"/>
    </row>
    <row r="66" spans="1:11" s="3" customFormat="1" ht="13.8" x14ac:dyDescent="0.3">
      <c r="A66" s="213" t="s">
        <v>309</v>
      </c>
      <c r="B66" s="181">
        <v>1</v>
      </c>
      <c r="C66" s="18" t="s">
        <v>295</v>
      </c>
      <c r="D66" s="146">
        <f>B66%*B73*Cotizaciones!B14</f>
        <v>4.6150000000000002</v>
      </c>
      <c r="E66" s="146">
        <f>D66</f>
        <v>4.6150000000000002</v>
      </c>
      <c r="F66" s="94"/>
    </row>
    <row r="67" spans="1:11" s="3" customFormat="1" ht="13.8" x14ac:dyDescent="0.3">
      <c r="A67" s="213"/>
      <c r="B67" s="37"/>
      <c r="C67" s="667" t="s">
        <v>310</v>
      </c>
      <c r="D67" s="667"/>
      <c r="E67" s="176">
        <f>SUM(E61:E66)</f>
        <v>47.165085143786492</v>
      </c>
      <c r="F67" s="22"/>
      <c r="G67" s="21">
        <f>E67*B3</f>
        <v>0</v>
      </c>
    </row>
    <row r="68" spans="1:11" s="3" customFormat="1" ht="13.8" x14ac:dyDescent="0.3">
      <c r="A68" s="213" t="s">
        <v>356</v>
      </c>
      <c r="B68" s="27"/>
      <c r="C68" s="566"/>
      <c r="D68" s="566"/>
      <c r="E68" s="227">
        <f>+Cotizaciones!B14</f>
        <v>355</v>
      </c>
      <c r="F68" s="567"/>
    </row>
    <row r="69" spans="1:11" s="3" customFormat="1" ht="13.8" x14ac:dyDescent="0.3">
      <c r="A69" s="213" t="s">
        <v>311</v>
      </c>
      <c r="B69" s="30"/>
      <c r="C69" s="18"/>
      <c r="D69" s="28"/>
      <c r="E69" s="227">
        <f>+E67/B73</f>
        <v>36.280834725989607</v>
      </c>
      <c r="F69" s="22">
        <f>+E69/E68</f>
        <v>0.10219953443940734</v>
      </c>
    </row>
    <row r="70" spans="1:11" s="3" customFormat="1" ht="13.8" x14ac:dyDescent="0.3">
      <c r="A70" s="213" t="s">
        <v>312</v>
      </c>
      <c r="D70" s="28"/>
      <c r="E70" s="227">
        <f>+E68-E69</f>
        <v>318.71916527401038</v>
      </c>
    </row>
    <row r="71" spans="1:11" s="3" customFormat="1" thickBot="1" x14ac:dyDescent="0.35">
      <c r="D71" s="28"/>
      <c r="E71" s="18"/>
      <c r="G71" s="661" t="s">
        <v>203</v>
      </c>
      <c r="H71" s="661"/>
      <c r="I71" s="660" t="s">
        <v>299</v>
      </c>
      <c r="J71" s="660"/>
      <c r="K71" s="3" t="s">
        <v>370</v>
      </c>
    </row>
    <row r="72" spans="1:11" s="3" customFormat="1" thickBot="1" x14ac:dyDescent="0.35">
      <c r="A72" s="727" t="s">
        <v>380</v>
      </c>
      <c r="B72" s="728"/>
      <c r="C72" s="729"/>
      <c r="D72" s="33"/>
      <c r="E72" s="33"/>
      <c r="F72" s="3" t="s">
        <v>204</v>
      </c>
      <c r="G72" s="639"/>
      <c r="H72" s="642">
        <f>+G72*B$3</f>
        <v>0</v>
      </c>
      <c r="I72" s="639">
        <f>+E18</f>
        <v>74.5</v>
      </c>
      <c r="J72" s="644">
        <f>+I72*B$3</f>
        <v>0</v>
      </c>
      <c r="K72" s="639"/>
    </row>
    <row r="73" spans="1:11" s="3" customFormat="1" ht="13.8" x14ac:dyDescent="0.3">
      <c r="A73" s="193" t="s">
        <v>315</v>
      </c>
      <c r="B73" s="568">
        <v>1.3</v>
      </c>
      <c r="C73" s="194" t="s">
        <v>316</v>
      </c>
      <c r="D73" s="185"/>
      <c r="E73" s="185"/>
      <c r="F73" s="3" t="s">
        <v>205</v>
      </c>
      <c r="G73" s="640">
        <v>0</v>
      </c>
      <c r="H73" s="642">
        <f t="shared" ref="H73:H77" si="3">+G73*B$3</f>
        <v>0</v>
      </c>
      <c r="I73" s="639">
        <f>+E25</f>
        <v>85.2</v>
      </c>
      <c r="J73" s="644">
        <f t="shared" ref="J73:J78" si="4">+I73*B$3</f>
        <v>0</v>
      </c>
      <c r="K73" s="639">
        <f t="shared" ref="K73:K78" si="5">+I73+G73</f>
        <v>85.2</v>
      </c>
    </row>
    <row r="74" spans="1:11" s="3" customFormat="1" ht="13.8" x14ac:dyDescent="0.3">
      <c r="A74" s="190" t="s">
        <v>358</v>
      </c>
      <c r="B74" s="574">
        <f>+E70</f>
        <v>318.71916527401038</v>
      </c>
      <c r="C74" s="196" t="s">
        <v>275</v>
      </c>
      <c r="D74" s="185"/>
      <c r="E74" s="185"/>
      <c r="F74" s="3" t="s">
        <v>206</v>
      </c>
      <c r="G74" s="639">
        <f>+E25</f>
        <v>85.2</v>
      </c>
      <c r="H74" s="642">
        <f t="shared" si="3"/>
        <v>0</v>
      </c>
      <c r="I74" s="639"/>
      <c r="J74" s="644">
        <f t="shared" si="4"/>
        <v>0</v>
      </c>
      <c r="K74" s="639">
        <f t="shared" si="5"/>
        <v>85.2</v>
      </c>
    </row>
    <row r="75" spans="1:11" s="3" customFormat="1" ht="13.8" x14ac:dyDescent="0.3">
      <c r="A75" s="191" t="s">
        <v>317</v>
      </c>
      <c r="B75" s="201">
        <f>+E56</f>
        <v>404.65</v>
      </c>
      <c r="C75" s="197" t="s">
        <v>21</v>
      </c>
      <c r="D75" s="239"/>
      <c r="E75" s="239"/>
      <c r="F75" s="3" t="s">
        <v>207</v>
      </c>
      <c r="G75" s="640">
        <f>+B27</f>
        <v>10</v>
      </c>
      <c r="H75" s="642">
        <f t="shared" si="3"/>
        <v>0</v>
      </c>
      <c r="I75" s="639"/>
      <c r="J75" s="644">
        <f t="shared" si="4"/>
        <v>0</v>
      </c>
      <c r="K75" s="639">
        <f t="shared" si="5"/>
        <v>10</v>
      </c>
    </row>
    <row r="76" spans="1:11" s="3" customFormat="1" ht="13.8" x14ac:dyDescent="0.3">
      <c r="A76" s="190" t="s">
        <v>160</v>
      </c>
      <c r="B76" s="200">
        <f>+B74*B73</f>
        <v>414.33491485621352</v>
      </c>
      <c r="C76" s="196" t="s">
        <v>318</v>
      </c>
      <c r="D76" s="186"/>
      <c r="E76" s="187"/>
      <c r="F76" s="3" t="s">
        <v>140</v>
      </c>
      <c r="G76" s="640">
        <v>0</v>
      </c>
      <c r="H76" s="642">
        <f t="shared" si="3"/>
        <v>0</v>
      </c>
      <c r="I76" s="639">
        <v>0</v>
      </c>
      <c r="J76" s="644">
        <f t="shared" si="4"/>
        <v>0</v>
      </c>
      <c r="K76" s="639">
        <f t="shared" si="5"/>
        <v>0</v>
      </c>
    </row>
    <row r="77" spans="1:11" s="3" customFormat="1" ht="13.8" x14ac:dyDescent="0.3">
      <c r="A77" s="191" t="s">
        <v>321</v>
      </c>
      <c r="B77" s="202">
        <f>+B76-E56</f>
        <v>9.6849148562135383</v>
      </c>
      <c r="C77" s="197" t="s">
        <v>318</v>
      </c>
      <c r="D77" s="186"/>
      <c r="E77" s="187"/>
      <c r="F77" s="3" t="s">
        <v>118</v>
      </c>
      <c r="G77" s="639"/>
      <c r="H77" s="642">
        <f t="shared" si="3"/>
        <v>0</v>
      </c>
      <c r="I77" s="640">
        <f>+E45</f>
        <v>58.2</v>
      </c>
      <c r="J77" s="644">
        <f t="shared" si="4"/>
        <v>0</v>
      </c>
      <c r="K77" s="639">
        <f t="shared" si="5"/>
        <v>58.2</v>
      </c>
    </row>
    <row r="78" spans="1:11" s="3" customFormat="1" ht="13.8" x14ac:dyDescent="0.3">
      <c r="A78" s="191" t="s">
        <v>325</v>
      </c>
      <c r="B78" s="273">
        <f>B77/E56</f>
        <v>2.3934053765509795E-2</v>
      </c>
      <c r="C78" s="197"/>
      <c r="D78" s="28"/>
      <c r="E78" s="30"/>
      <c r="G78" s="639"/>
      <c r="H78" s="642"/>
      <c r="I78" s="640"/>
      <c r="J78" s="644">
        <f t="shared" si="4"/>
        <v>0</v>
      </c>
      <c r="K78" s="639">
        <f t="shared" si="5"/>
        <v>0</v>
      </c>
    </row>
    <row r="79" spans="1:11" s="3" customFormat="1" ht="13.8" x14ac:dyDescent="0.3">
      <c r="A79" s="190" t="s">
        <v>326</v>
      </c>
      <c r="B79" s="234">
        <f>+B75/B74</f>
        <v>1.2696130138647697</v>
      </c>
      <c r="C79" s="197"/>
      <c r="D79" s="28"/>
      <c r="E79" s="30"/>
      <c r="F79" s="3" t="s">
        <v>199</v>
      </c>
      <c r="G79" s="640"/>
      <c r="H79" s="642"/>
      <c r="I79" s="639"/>
      <c r="J79" s="644"/>
      <c r="K79" s="639"/>
    </row>
    <row r="80" spans="1:11" s="3" customFormat="1" ht="13.8" x14ac:dyDescent="0.3">
      <c r="A80" s="191" t="s">
        <v>164</v>
      </c>
      <c r="B80" s="203">
        <f>+E45+E33+E25+E22+E18</f>
        <v>296.64999999999998</v>
      </c>
      <c r="C80" s="197"/>
      <c r="D80" s="273"/>
      <c r="E80" s="30"/>
      <c r="F80" s="591"/>
      <c r="G80" s="641">
        <f>SUM(G72:G79)</f>
        <v>95.2</v>
      </c>
      <c r="H80" s="643">
        <f t="shared" ref="H80:J80" si="6">SUM(H72:H79)</f>
        <v>0</v>
      </c>
      <c r="I80" s="641">
        <f t="shared" si="6"/>
        <v>217.89999999999998</v>
      </c>
      <c r="J80" s="645">
        <f t="shared" si="6"/>
        <v>0</v>
      </c>
      <c r="K80" s="639">
        <f>+I80+G80</f>
        <v>313.09999999999997</v>
      </c>
    </row>
    <row r="81" spans="1:11" s="3" customFormat="1" thickBot="1" x14ac:dyDescent="0.35">
      <c r="A81" s="192" t="s">
        <v>327</v>
      </c>
      <c r="B81" s="274">
        <f>B77/B80</f>
        <v>3.2647614549851808E-2</v>
      </c>
      <c r="C81" s="199"/>
      <c r="D81" s="28"/>
      <c r="E81" s="30"/>
      <c r="F81" s="94"/>
      <c r="G81" s="662">
        <f>+G80/K80</f>
        <v>0.30405621207282024</v>
      </c>
      <c r="H81" s="662"/>
      <c r="I81" s="663">
        <f>+I80/K80</f>
        <v>0.69594378792717981</v>
      </c>
      <c r="J81" s="663"/>
      <c r="K81" s="637"/>
    </row>
    <row r="82" spans="1:11" s="3" customFormat="1" ht="13.8" x14ac:dyDescent="0.3">
      <c r="A82" s="18"/>
      <c r="B82" s="41"/>
      <c r="C82" s="41"/>
      <c r="D82" s="28"/>
      <c r="E82" s="30"/>
    </row>
    <row r="83" spans="1:11" s="3" customFormat="1" ht="13.8" x14ac:dyDescent="0.3">
      <c r="A83" s="755" t="s">
        <v>317</v>
      </c>
      <c r="B83" s="755"/>
      <c r="C83" s="42">
        <f>E56</f>
        <v>404.65</v>
      </c>
      <c r="D83" s="28"/>
      <c r="E83" s="30"/>
    </row>
    <row r="84" spans="1:11" s="3" customFormat="1" ht="13.8" x14ac:dyDescent="0.3">
      <c r="A84" s="142" t="s">
        <v>359</v>
      </c>
      <c r="B84" s="143"/>
      <c r="C84" s="143"/>
      <c r="D84" s="143"/>
      <c r="E84" s="143"/>
      <c r="F84" s="143"/>
      <c r="G84" s="143"/>
      <c r="H84" s="144"/>
    </row>
    <row r="85" spans="1:11" s="3" customFormat="1" ht="13.8" x14ac:dyDescent="0.3">
      <c r="A85" s="43" t="s">
        <v>332</v>
      </c>
      <c r="B85" s="44">
        <f>B94</f>
        <v>0.39999999999999997</v>
      </c>
      <c r="C85" s="44">
        <f t="shared" ref="C85:H85" si="7">C94</f>
        <v>0.7</v>
      </c>
      <c r="D85" s="44">
        <f t="shared" si="7"/>
        <v>1</v>
      </c>
      <c r="E85" s="44">
        <f t="shared" si="7"/>
        <v>1.3</v>
      </c>
      <c r="F85" s="44">
        <f t="shared" si="7"/>
        <v>1.6</v>
      </c>
      <c r="G85" s="44">
        <f t="shared" si="7"/>
        <v>1.9000000000000001</v>
      </c>
      <c r="H85" s="44">
        <f t="shared" si="7"/>
        <v>2.2000000000000002</v>
      </c>
    </row>
    <row r="86" spans="1:11" s="3" customFormat="1" ht="13.8" x14ac:dyDescent="0.3">
      <c r="A86" s="47">
        <f>A87-10</f>
        <v>288.71916527401038</v>
      </c>
      <c r="B86" s="48">
        <f>B95/C83*100</f>
        <v>-71.459862570220139</v>
      </c>
      <c r="C86" s="48">
        <f>C95/C83*100</f>
        <v>-50.054759497885271</v>
      </c>
      <c r="D86" s="48">
        <f>D95/C83*100</f>
        <v>-28.649656425550379</v>
      </c>
      <c r="E86" s="49">
        <f>E95/C83*100</f>
        <v>-7.2445533532154851</v>
      </c>
      <c r="F86" s="48">
        <f>F95/C83*100</f>
        <v>14.160549719119405</v>
      </c>
      <c r="G86" s="48">
        <f>G95/C83*100</f>
        <v>35.565652791454283</v>
      </c>
      <c r="H86" s="50">
        <f>H95/C83*100</f>
        <v>56.970755863789194</v>
      </c>
    </row>
    <row r="87" spans="1:11" s="3" customFormat="1" ht="13.8" x14ac:dyDescent="0.3">
      <c r="A87" s="47">
        <f>A88-10</f>
        <v>298.71916527401038</v>
      </c>
      <c r="B87" s="48">
        <f>B96/C83*100</f>
        <v>-70.471353982551804</v>
      </c>
      <c r="C87" s="48">
        <f>C96/C83*100</f>
        <v>-48.324869469465646</v>
      </c>
      <c r="D87" s="48">
        <f>D96/C83*100</f>
        <v>-26.178384956379492</v>
      </c>
      <c r="E87" s="49">
        <f>E96/C83*100</f>
        <v>-4.0319004432933303</v>
      </c>
      <c r="F87" s="48">
        <f>F96/C83*100</f>
        <v>18.114584069792826</v>
      </c>
      <c r="G87" s="48">
        <f>G96/C83*100</f>
        <v>40.26106858287897</v>
      </c>
      <c r="H87" s="50">
        <f>H96/C83*100</f>
        <v>62.407553095965142</v>
      </c>
    </row>
    <row r="88" spans="1:11" s="3" customFormat="1" ht="13.8" x14ac:dyDescent="0.3">
      <c r="A88" s="47">
        <f>A89-10</f>
        <v>308.71916527401038</v>
      </c>
      <c r="B88" s="48">
        <f>B97/C83*100</f>
        <v>-69.482845394883455</v>
      </c>
      <c r="C88" s="48">
        <f>C97/C83*100</f>
        <v>-46.594979441046021</v>
      </c>
      <c r="D88" s="48">
        <f>D97/C83*100</f>
        <v>-23.707113487208602</v>
      </c>
      <c r="E88" s="49">
        <f>E97/C83*100</f>
        <v>-0.81924753337117551</v>
      </c>
      <c r="F88" s="48">
        <f>F97/C83*100</f>
        <v>22.068618420466247</v>
      </c>
      <c r="G88" s="48">
        <f>G97/C83*100</f>
        <v>44.956484374303663</v>
      </c>
      <c r="H88" s="50">
        <f>H97/C83*100</f>
        <v>67.844350328141104</v>
      </c>
    </row>
    <row r="89" spans="1:11" s="3" customFormat="1" ht="13.8" x14ac:dyDescent="0.3">
      <c r="A89" s="51">
        <f>B74</f>
        <v>318.71916527401038</v>
      </c>
      <c r="B89" s="52">
        <f>B98/C83*100</f>
        <v>-68.494336807215092</v>
      </c>
      <c r="C89" s="53">
        <f>C98/C83*100</f>
        <v>-44.865089412626403</v>
      </c>
      <c r="D89" s="53">
        <f>D98/C83*100</f>
        <v>-21.235842018037712</v>
      </c>
      <c r="E89" s="54">
        <f>E98/C83*100</f>
        <v>2.3934053765509793</v>
      </c>
      <c r="F89" s="53">
        <f>F98/C83*100</f>
        <v>26.022652771139672</v>
      </c>
      <c r="G89" s="53">
        <f>G98/C83*100</f>
        <v>49.65190016572835</v>
      </c>
      <c r="H89" s="55">
        <f>H98/C83*100</f>
        <v>73.281147560317052</v>
      </c>
    </row>
    <row r="90" spans="1:11" s="3" customFormat="1" ht="13.8" x14ac:dyDescent="0.3">
      <c r="A90" s="47">
        <f>A89+10</f>
        <v>328.71916527401038</v>
      </c>
      <c r="B90" s="56">
        <f>B99/C83*100</f>
        <v>-67.505828219546743</v>
      </c>
      <c r="C90" s="56">
        <f>C99/C83*100</f>
        <v>-43.135199384206786</v>
      </c>
      <c r="D90" s="56">
        <f>D99/C83*100</f>
        <v>-18.764570548866825</v>
      </c>
      <c r="E90" s="57">
        <f>E99/C83*100</f>
        <v>5.606058286473135</v>
      </c>
      <c r="F90" s="56">
        <f>F99/C83*100</f>
        <v>29.976687121813093</v>
      </c>
      <c r="G90" s="56">
        <f>G99/C83*100</f>
        <v>54.347315957153043</v>
      </c>
      <c r="H90" s="58">
        <f>H99/C83*100</f>
        <v>78.717944792493014</v>
      </c>
    </row>
    <row r="91" spans="1:11" s="3" customFormat="1" ht="13.8" x14ac:dyDescent="0.3">
      <c r="A91" s="47">
        <f>A90+10</f>
        <v>338.71916527401038</v>
      </c>
      <c r="B91" s="56">
        <f>B100/C83*100</f>
        <v>-66.517319631878379</v>
      </c>
      <c r="C91" s="56">
        <f>C100/C83*100</f>
        <v>-41.405309355787161</v>
      </c>
      <c r="D91" s="56">
        <f>D100/C83*100</f>
        <v>-16.293299079695934</v>
      </c>
      <c r="E91" s="57">
        <f>E100/C83*100</f>
        <v>8.8187111963952898</v>
      </c>
      <c r="F91" s="56">
        <f>F100/C83*100</f>
        <v>33.93072147248651</v>
      </c>
      <c r="G91" s="56">
        <f>G100/C83*100</f>
        <v>59.042731748577722</v>
      </c>
      <c r="H91" s="58">
        <f>H100/C83*100</f>
        <v>84.154742024668963</v>
      </c>
    </row>
    <row r="92" spans="1:11" s="3" customFormat="1" ht="13.8" x14ac:dyDescent="0.3">
      <c r="A92" s="47">
        <f>A91+10</f>
        <v>348.71916527401038</v>
      </c>
      <c r="B92" s="56">
        <f>B101/C83*100</f>
        <v>-65.52881104421003</v>
      </c>
      <c r="C92" s="56">
        <f>C101/C83*100</f>
        <v>-39.675419327367543</v>
      </c>
      <c r="D92" s="56">
        <f>D101/C83*100</f>
        <v>-13.822027610525048</v>
      </c>
      <c r="E92" s="57">
        <f>E101/C83*100</f>
        <v>12.031364106317445</v>
      </c>
      <c r="F92" s="56">
        <f>F101/C83*100</f>
        <v>37.884755823159935</v>
      </c>
      <c r="G92" s="56">
        <f>G101/C83*100</f>
        <v>63.738147540002409</v>
      </c>
      <c r="H92" s="58">
        <f>H101/C83*100</f>
        <v>89.591539256844925</v>
      </c>
    </row>
    <row r="93" spans="1:11" s="3" customFormat="1" ht="13.8" x14ac:dyDescent="0.3">
      <c r="A93" s="761" t="s">
        <v>381</v>
      </c>
      <c r="B93" s="761"/>
      <c r="C93" s="761"/>
      <c r="D93" s="761"/>
      <c r="E93" s="761"/>
      <c r="F93" s="761"/>
      <c r="G93" s="761"/>
      <c r="H93" s="761"/>
    </row>
    <row r="94" spans="1:11" s="3" customFormat="1" ht="13.8" x14ac:dyDescent="0.3">
      <c r="A94" s="43" t="s">
        <v>332</v>
      </c>
      <c r="B94" s="44">
        <f>C94-0.3</f>
        <v>0.39999999999999997</v>
      </c>
      <c r="C94" s="44">
        <f>D94-0.3</f>
        <v>0.7</v>
      </c>
      <c r="D94" s="44">
        <f>E94-0.3</f>
        <v>1</v>
      </c>
      <c r="E94" s="45">
        <f>B73</f>
        <v>1.3</v>
      </c>
      <c r="F94" s="44">
        <f>E94+0.3</f>
        <v>1.6</v>
      </c>
      <c r="G94" s="44">
        <f>F94+0.3</f>
        <v>1.9000000000000001</v>
      </c>
      <c r="H94" s="44">
        <f>G94+0.3</f>
        <v>2.2000000000000002</v>
      </c>
    </row>
    <row r="95" spans="1:11" s="3" customFormat="1" ht="13.8" x14ac:dyDescent="0.3">
      <c r="A95" s="47">
        <f>A96-10</f>
        <v>288.71916527401038</v>
      </c>
      <c r="B95" s="48">
        <f>(B94*A95)-C83</f>
        <v>-289.16233389039581</v>
      </c>
      <c r="C95" s="48">
        <f>(C94*A95)-C83</f>
        <v>-202.54658430819273</v>
      </c>
      <c r="D95" s="48">
        <f>(D94*A95)-C83</f>
        <v>-115.9308347259896</v>
      </c>
      <c r="E95" s="49">
        <f>(E94*A95)-C83</f>
        <v>-29.315085143786462</v>
      </c>
      <c r="F95" s="48">
        <f>(F94*A95)-C83</f>
        <v>57.300664438416675</v>
      </c>
      <c r="G95" s="48">
        <f>(G94*A95)-C83</f>
        <v>143.91641402061975</v>
      </c>
      <c r="H95" s="50">
        <f>(H94*A95)-C83</f>
        <v>230.53216360282295</v>
      </c>
    </row>
    <row r="96" spans="1:11" s="3" customFormat="1" ht="13.8" x14ac:dyDescent="0.3">
      <c r="A96" s="47">
        <f>A97-10</f>
        <v>298.71916527401038</v>
      </c>
      <c r="B96" s="48">
        <f>(B94*A96)-C83</f>
        <v>-285.16233389039587</v>
      </c>
      <c r="C96" s="48">
        <f>(C94*A96)-C83</f>
        <v>-195.54658430819273</v>
      </c>
      <c r="D96" s="48">
        <f>(D94*A96)-C83</f>
        <v>-105.9308347259896</v>
      </c>
      <c r="E96" s="49">
        <f>(E94*A96)-C83</f>
        <v>-16.315085143786462</v>
      </c>
      <c r="F96" s="48">
        <f>(F94*A96)-C83</f>
        <v>73.300664438416675</v>
      </c>
      <c r="G96" s="48">
        <f>(G94*A96)-C83</f>
        <v>162.91641402061975</v>
      </c>
      <c r="H96" s="50">
        <f>(H94*A96)-C83</f>
        <v>252.53216360282295</v>
      </c>
    </row>
    <row r="97" spans="1:8" s="3" customFormat="1" ht="13.8" x14ac:dyDescent="0.3">
      <c r="A97" s="47">
        <f>A98-10</f>
        <v>308.71916527401038</v>
      </c>
      <c r="B97" s="48">
        <f>(A97*B94)-C83</f>
        <v>-281.16233389039587</v>
      </c>
      <c r="C97" s="48">
        <f>(C94*A97)-C83</f>
        <v>-188.54658430819273</v>
      </c>
      <c r="D97" s="48">
        <f>(D94*A97)-C83</f>
        <v>-95.930834725989598</v>
      </c>
      <c r="E97" s="49">
        <f>(E94*A97)-C83</f>
        <v>-3.3150851437864617</v>
      </c>
      <c r="F97" s="48">
        <f>(F94*A97)-C83</f>
        <v>89.300664438416675</v>
      </c>
      <c r="G97" s="48">
        <f>(G94*A97)-C83</f>
        <v>181.91641402061975</v>
      </c>
      <c r="H97" s="50">
        <f>(H94*A97)-C83</f>
        <v>274.53216360282295</v>
      </c>
    </row>
    <row r="98" spans="1:8" s="3" customFormat="1" ht="13.8" x14ac:dyDescent="0.3">
      <c r="A98" s="51">
        <f>B74</f>
        <v>318.71916527401038</v>
      </c>
      <c r="B98" s="53">
        <f>(A98*B94)-C83</f>
        <v>-277.16233389039587</v>
      </c>
      <c r="C98" s="53">
        <f>(A98*C94)-C83</f>
        <v>-181.54658430819273</v>
      </c>
      <c r="D98" s="53">
        <f>(D94*A98)-C83</f>
        <v>-85.930834725989598</v>
      </c>
      <c r="E98" s="54">
        <f>(A98*E94)-C83</f>
        <v>9.6849148562135383</v>
      </c>
      <c r="F98" s="53">
        <f>(A98*F94)-C83</f>
        <v>105.30066443841667</v>
      </c>
      <c r="G98" s="53">
        <f>(G94*A98)-C83</f>
        <v>200.91641402061975</v>
      </c>
      <c r="H98" s="55">
        <f>(H94*A98)-C83</f>
        <v>296.53216360282295</v>
      </c>
    </row>
    <row r="99" spans="1:8" s="3" customFormat="1" ht="13.8" x14ac:dyDescent="0.3">
      <c r="A99" s="47">
        <f>A98+10</f>
        <v>328.71916527401038</v>
      </c>
      <c r="B99" s="56">
        <f>(A99*B94)-C83</f>
        <v>-273.16233389039587</v>
      </c>
      <c r="C99" s="56">
        <f>(C94*A99)-C83</f>
        <v>-174.54658430819273</v>
      </c>
      <c r="D99" s="56">
        <f>(D94*A99)-C83</f>
        <v>-75.930834725989598</v>
      </c>
      <c r="E99" s="57">
        <f>(E94*A99)-C83</f>
        <v>22.684914856213538</v>
      </c>
      <c r="F99" s="56">
        <f>(F94*A99)-C83</f>
        <v>121.30066443841667</v>
      </c>
      <c r="G99" s="56">
        <f>(G94*A99)-C83</f>
        <v>219.91641402061975</v>
      </c>
      <c r="H99" s="58">
        <f>(H94*A99)-C83</f>
        <v>318.53216360282295</v>
      </c>
    </row>
    <row r="100" spans="1:8" x14ac:dyDescent="0.3">
      <c r="A100" s="47">
        <f>A99+10</f>
        <v>338.71916527401038</v>
      </c>
      <c r="B100" s="56">
        <f>(A100*B94)-C83</f>
        <v>-269.16233389039587</v>
      </c>
      <c r="C100" s="56">
        <f>(C94*A100)-C83</f>
        <v>-167.54658430819273</v>
      </c>
      <c r="D100" s="56">
        <f>(D94*A100)-C83</f>
        <v>-65.930834725989598</v>
      </c>
      <c r="E100" s="57">
        <f>(E94*A100)-C83</f>
        <v>35.684914856213538</v>
      </c>
      <c r="F100" s="56">
        <f>(F94*A100)-C83</f>
        <v>137.30066443841667</v>
      </c>
      <c r="G100" s="56">
        <f>(G94*A100)-C83</f>
        <v>238.91641402061975</v>
      </c>
      <c r="H100" s="58">
        <f>(H94*A100)-C83</f>
        <v>340.53216360282295</v>
      </c>
    </row>
    <row r="101" spans="1:8" x14ac:dyDescent="0.3">
      <c r="A101" s="59">
        <f>A100+10</f>
        <v>348.71916527401038</v>
      </c>
      <c r="B101" s="60">
        <f>(B94*A101)-C83</f>
        <v>-265.16233389039587</v>
      </c>
      <c r="C101" s="60">
        <f>(C94*A101)-C83</f>
        <v>-160.54658430819273</v>
      </c>
      <c r="D101" s="60">
        <f>(D94*A101)-C83</f>
        <v>-55.930834725989598</v>
      </c>
      <c r="E101" s="61">
        <f>(E94*A101)-C83</f>
        <v>48.684914856213538</v>
      </c>
      <c r="F101" s="60">
        <f>(F94*A101)-C83</f>
        <v>153.30066443841667</v>
      </c>
      <c r="G101" s="60">
        <f>(G94*A101)-C83</f>
        <v>257.91641402061975</v>
      </c>
      <c r="H101" s="62">
        <f>(A101*H94)-C83</f>
        <v>362.53216360282295</v>
      </c>
    </row>
  </sheetData>
  <mergeCells count="19">
    <mergeCell ref="C33:D33"/>
    <mergeCell ref="A93:H93"/>
    <mergeCell ref="A83:B83"/>
    <mergeCell ref="A72:C72"/>
    <mergeCell ref="C48:D48"/>
    <mergeCell ref="C67:D67"/>
    <mergeCell ref="C51:D51"/>
    <mergeCell ref="C54:D54"/>
    <mergeCell ref="C56:D56"/>
    <mergeCell ref="A1:H1"/>
    <mergeCell ref="C18:D18"/>
    <mergeCell ref="C22:D22"/>
    <mergeCell ref="C25:D25"/>
    <mergeCell ref="C28:D28"/>
    <mergeCell ref="I81:J81"/>
    <mergeCell ref="G81:H81"/>
    <mergeCell ref="G71:H71"/>
    <mergeCell ref="I71:J71"/>
    <mergeCell ref="C45:D45"/>
  </mergeCells>
  <pageMargins left="0.1701388888888889" right="0.3" top="0.37013888888888891" bottom="1.320138888888889" header="0.51180555555555551" footer="0.51180555555555551"/>
  <pageSetup paperSize="9" scale="55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5"/>
  <sheetViews>
    <sheetView showGridLines="0" topLeftCell="A23" zoomScale="95" zoomScaleNormal="95" workbookViewId="0">
      <selection activeCell="D34" sqref="D34"/>
    </sheetView>
  </sheetViews>
  <sheetFormatPr baseColWidth="10" defaultColWidth="10.6640625" defaultRowHeight="14.4" x14ac:dyDescent="0.3"/>
  <cols>
    <col min="1" max="1" width="27.88671875" style="1" customWidth="1"/>
    <col min="2" max="2" width="13.109375" style="1" bestFit="1" customWidth="1"/>
    <col min="3" max="3" width="10.5546875" style="1" bestFit="1" customWidth="1"/>
    <col min="4" max="4" width="12.6640625" style="2" bestFit="1" customWidth="1"/>
    <col min="5" max="5" width="12.6640625" style="1" bestFit="1" customWidth="1"/>
    <col min="6" max="6" width="8" style="1" customWidth="1"/>
    <col min="7" max="7" width="13" style="1" customWidth="1"/>
    <col min="8" max="8" width="8.33203125" style="1" bestFit="1" customWidth="1"/>
    <col min="9" max="16384" width="10.6640625" style="1"/>
  </cols>
  <sheetData>
    <row r="1" spans="1:10" s="3" customFormat="1" ht="21.6" thickBot="1" x14ac:dyDescent="0.45">
      <c r="A1" s="664" t="s">
        <v>382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7"/>
      <c r="B4" s="8"/>
      <c r="C4" s="7"/>
      <c r="D4" s="4" t="s">
        <v>245</v>
      </c>
      <c r="E4" s="9"/>
      <c r="J4" s="3" t="s">
        <v>244</v>
      </c>
    </row>
    <row r="5" spans="1:10" s="3" customFormat="1" ht="13.8" x14ac:dyDescent="0.3">
      <c r="A5" s="10" t="s">
        <v>204</v>
      </c>
      <c r="B5" s="11"/>
      <c r="C5" s="12"/>
      <c r="D5" s="13"/>
      <c r="E5" s="14"/>
      <c r="F5" s="15"/>
    </row>
    <row r="6" spans="1:10" s="3" customFormat="1" ht="13.8" x14ac:dyDescent="0.3">
      <c r="A6" s="16" t="s">
        <v>246</v>
      </c>
      <c r="B6" s="169">
        <v>0</v>
      </c>
      <c r="C6" s="18" t="s">
        <v>247</v>
      </c>
      <c r="D6" s="117">
        <f>Cotizaciones!F8</f>
        <v>0</v>
      </c>
      <c r="E6" s="117">
        <f t="shared" ref="E6:E20" si="0">B6*D6</f>
        <v>0</v>
      </c>
    </row>
    <row r="7" spans="1:10" s="3" customFormat="1" ht="13.8" x14ac:dyDescent="0.3">
      <c r="A7" s="16" t="s">
        <v>250</v>
      </c>
      <c r="B7" s="169">
        <v>0</v>
      </c>
      <c r="C7" s="18" t="s">
        <v>247</v>
      </c>
      <c r="D7" s="117">
        <f>Cotizaciones!F18</f>
        <v>17</v>
      </c>
      <c r="E7" s="117">
        <f t="shared" si="0"/>
        <v>0</v>
      </c>
    </row>
    <row r="8" spans="1:10" s="3" customFormat="1" ht="13.8" x14ac:dyDescent="0.3">
      <c r="A8" s="16" t="s">
        <v>251</v>
      </c>
      <c r="B8" s="169">
        <v>0</v>
      </c>
      <c r="C8" s="18" t="s">
        <v>247</v>
      </c>
      <c r="D8" s="117">
        <v>7</v>
      </c>
      <c r="E8" s="117">
        <f t="shared" si="0"/>
        <v>0</v>
      </c>
      <c r="G8" s="93">
        <v>41061</v>
      </c>
      <c r="H8" s="93">
        <v>41122</v>
      </c>
    </row>
    <row r="9" spans="1:10" s="3" customFormat="1" ht="13.8" x14ac:dyDescent="0.3">
      <c r="A9" s="16" t="s">
        <v>251</v>
      </c>
      <c r="B9" s="169">
        <v>0</v>
      </c>
      <c r="C9" s="18" t="s">
        <v>247</v>
      </c>
      <c r="D9" s="117">
        <v>7</v>
      </c>
      <c r="E9" s="117">
        <f t="shared" si="0"/>
        <v>0</v>
      </c>
      <c r="G9" s="93"/>
      <c r="H9" s="93"/>
    </row>
    <row r="10" spans="1:10" s="3" customFormat="1" ht="13.8" x14ac:dyDescent="0.3">
      <c r="A10" s="16" t="s">
        <v>345</v>
      </c>
      <c r="B10" s="169">
        <v>1</v>
      </c>
      <c r="C10" s="18" t="s">
        <v>247</v>
      </c>
      <c r="D10" s="117">
        <v>55</v>
      </c>
      <c r="E10" s="117">
        <f t="shared" si="0"/>
        <v>55</v>
      </c>
      <c r="G10" s="93">
        <v>41183</v>
      </c>
      <c r="J10" s="3" t="s">
        <v>383</v>
      </c>
    </row>
    <row r="11" spans="1:10" s="3" customFormat="1" ht="13.8" x14ac:dyDescent="0.3">
      <c r="A11" s="16" t="s">
        <v>384</v>
      </c>
      <c r="B11" s="169">
        <v>1</v>
      </c>
      <c r="C11" s="18" t="s">
        <v>247</v>
      </c>
      <c r="D11" s="117">
        <v>7</v>
      </c>
      <c r="E11" s="117">
        <f t="shared" si="0"/>
        <v>7</v>
      </c>
      <c r="G11" s="93">
        <v>41184</v>
      </c>
      <c r="H11" s="93">
        <v>41215</v>
      </c>
      <c r="J11" s="3" t="s">
        <v>383</v>
      </c>
    </row>
    <row r="12" spans="1:10" s="3" customFormat="1" ht="13.8" x14ac:dyDescent="0.3">
      <c r="A12" s="16" t="s">
        <v>384</v>
      </c>
      <c r="B12" s="169">
        <v>0.5</v>
      </c>
      <c r="C12" s="18" t="s">
        <v>247</v>
      </c>
      <c r="D12" s="117">
        <v>7</v>
      </c>
      <c r="E12" s="117">
        <f t="shared" si="0"/>
        <v>3.5</v>
      </c>
      <c r="G12" s="93"/>
      <c r="H12" s="93"/>
      <c r="J12" s="3" t="s">
        <v>383</v>
      </c>
    </row>
    <row r="13" spans="1:10" s="3" customFormat="1" ht="13.8" x14ac:dyDescent="0.3">
      <c r="A13" s="16" t="s">
        <v>385</v>
      </c>
      <c r="B13" s="169">
        <v>0</v>
      </c>
      <c r="C13" s="18" t="s">
        <v>247</v>
      </c>
      <c r="D13" s="117">
        <v>7</v>
      </c>
      <c r="E13" s="117">
        <f t="shared" si="0"/>
        <v>0</v>
      </c>
    </row>
    <row r="14" spans="1:10" s="3" customFormat="1" ht="13.8" x14ac:dyDescent="0.3">
      <c r="A14" s="16" t="s">
        <v>386</v>
      </c>
      <c r="B14" s="169">
        <v>1</v>
      </c>
      <c r="C14" s="18" t="s">
        <v>247</v>
      </c>
      <c r="D14" s="117">
        <v>30</v>
      </c>
      <c r="E14" s="117">
        <f t="shared" si="0"/>
        <v>30</v>
      </c>
      <c r="G14" s="93">
        <v>41184</v>
      </c>
    </row>
    <row r="15" spans="1:10" s="3" customFormat="1" ht="13.8" x14ac:dyDescent="0.3">
      <c r="A15" s="16" t="s">
        <v>386</v>
      </c>
      <c r="B15" s="169">
        <v>0</v>
      </c>
      <c r="C15" s="18" t="s">
        <v>247</v>
      </c>
      <c r="D15" s="117">
        <f>D14</f>
        <v>30</v>
      </c>
      <c r="E15" s="117">
        <f t="shared" si="0"/>
        <v>0</v>
      </c>
      <c r="G15" s="93"/>
    </row>
    <row r="16" spans="1:10" s="3" customFormat="1" ht="13.8" x14ac:dyDescent="0.3">
      <c r="A16" s="16" t="s">
        <v>387</v>
      </c>
      <c r="B16" s="169">
        <v>0</v>
      </c>
      <c r="C16" s="18" t="s">
        <v>247</v>
      </c>
      <c r="D16" s="117">
        <f>+Cotizaciones!F17</f>
        <v>5</v>
      </c>
      <c r="E16" s="117">
        <f t="shared" si="0"/>
        <v>0</v>
      </c>
    </row>
    <row r="17" spans="1:10" s="3" customFormat="1" ht="13.8" x14ac:dyDescent="0.3">
      <c r="A17" s="16" t="s">
        <v>388</v>
      </c>
      <c r="B17" s="169">
        <v>0</v>
      </c>
      <c r="C17" s="18" t="s">
        <v>247</v>
      </c>
      <c r="D17" s="117">
        <f>+Cotizaciones!F16</f>
        <v>13</v>
      </c>
      <c r="E17" s="117">
        <f t="shared" si="0"/>
        <v>0</v>
      </c>
    </row>
    <row r="18" spans="1:10" s="3" customFormat="1" ht="13.8" x14ac:dyDescent="0.3">
      <c r="A18" s="16" t="s">
        <v>262</v>
      </c>
      <c r="B18" s="169">
        <v>0</v>
      </c>
      <c r="C18" s="18" t="s">
        <v>247</v>
      </c>
      <c r="D18" s="117">
        <f>+Cotizaciones!F15</f>
        <v>1</v>
      </c>
      <c r="E18" s="117">
        <f t="shared" si="0"/>
        <v>0</v>
      </c>
      <c r="G18" s="93">
        <f>+G8</f>
        <v>41061</v>
      </c>
    </row>
    <row r="19" spans="1:10" s="3" customFormat="1" ht="13.8" x14ac:dyDescent="0.3">
      <c r="A19" s="16" t="s">
        <v>263</v>
      </c>
      <c r="B19" s="169">
        <v>0</v>
      </c>
      <c r="C19" s="18" t="s">
        <v>247</v>
      </c>
      <c r="D19" s="117">
        <f>+Cotizaciones!F5</f>
        <v>0</v>
      </c>
      <c r="E19" s="117">
        <f t="shared" si="0"/>
        <v>0</v>
      </c>
    </row>
    <row r="20" spans="1:10" s="3" customFormat="1" ht="13.8" x14ac:dyDescent="0.3">
      <c r="A20" s="16" t="s">
        <v>264</v>
      </c>
      <c r="B20" s="169">
        <v>0</v>
      </c>
      <c r="C20" s="18" t="s">
        <v>247</v>
      </c>
      <c r="D20" s="117">
        <f>+Cotizaciones!F13</f>
        <v>0</v>
      </c>
      <c r="E20" s="117">
        <f t="shared" si="0"/>
        <v>0</v>
      </c>
    </row>
    <row r="21" spans="1:10" s="3" customFormat="1" ht="15" customHeight="1" x14ac:dyDescent="0.3">
      <c r="B21" s="7"/>
      <c r="C21" s="667" t="s">
        <v>265</v>
      </c>
      <c r="D21" s="667"/>
      <c r="E21" s="141">
        <f>SUM(E6:E20)</f>
        <v>95.5</v>
      </c>
      <c r="F21" s="22">
        <f>E21/E69</f>
        <v>0.14587947758344155</v>
      </c>
      <c r="G21" s="21">
        <f>E21*D1</f>
        <v>0</v>
      </c>
    </row>
    <row r="22" spans="1:10" s="3" customFormat="1" ht="13.8" x14ac:dyDescent="0.3">
      <c r="A22" s="10" t="s">
        <v>205</v>
      </c>
      <c r="B22" s="11"/>
      <c r="C22" s="12"/>
      <c r="D22" s="24"/>
      <c r="E22" s="172"/>
      <c r="F22" s="15"/>
    </row>
    <row r="23" spans="1:10" s="3" customFormat="1" ht="13.8" x14ac:dyDescent="0.3">
      <c r="A23" s="26"/>
      <c r="B23" s="87"/>
      <c r="C23" s="18"/>
      <c r="D23" s="28"/>
      <c r="E23" s="217"/>
    </row>
    <row r="24" spans="1:10" s="3" customFormat="1" ht="13.8" x14ac:dyDescent="0.3">
      <c r="A24" s="30" t="s">
        <v>389</v>
      </c>
      <c r="B24" s="229">
        <v>0.6875</v>
      </c>
      <c r="C24" s="18" t="s">
        <v>390</v>
      </c>
      <c r="D24" s="19">
        <f>Cotizaciones!E44</f>
        <v>180</v>
      </c>
      <c r="E24" s="217">
        <f>B24*D24</f>
        <v>123.75</v>
      </c>
      <c r="G24" s="3" t="str">
        <f>+A10</f>
        <v>Siembra Directa</v>
      </c>
      <c r="J24" s="3" t="s">
        <v>383</v>
      </c>
    </row>
    <row r="25" spans="1:10" s="3" customFormat="1" ht="13.8" x14ac:dyDescent="0.3">
      <c r="A25" s="30"/>
      <c r="B25" s="18"/>
      <c r="C25" s="667" t="s">
        <v>270</v>
      </c>
      <c r="D25" s="667"/>
      <c r="E25" s="141">
        <f>SUM(E24:E24)</f>
        <v>123.75</v>
      </c>
      <c r="F25" s="22">
        <f>E25/E69</f>
        <v>0.18903230733979989</v>
      </c>
      <c r="G25" s="21">
        <f>E25*D1</f>
        <v>0</v>
      </c>
    </row>
    <row r="26" spans="1:10" s="3" customFormat="1" ht="13.8" x14ac:dyDescent="0.3">
      <c r="A26" s="30"/>
      <c r="B26" s="87"/>
      <c r="C26" s="18"/>
      <c r="D26" s="28"/>
      <c r="E26" s="217"/>
    </row>
    <row r="27" spans="1:10" s="3" customFormat="1" ht="13.8" x14ac:dyDescent="0.3">
      <c r="A27" s="10" t="s">
        <v>206</v>
      </c>
      <c r="B27" s="11">
        <v>0.2</v>
      </c>
      <c r="C27" s="12" t="s">
        <v>247</v>
      </c>
      <c r="D27" s="432">
        <f>+B27*'Resumen Proy'!B56</f>
        <v>85.2</v>
      </c>
      <c r="E27" s="174">
        <f>+D27</f>
        <v>85.2</v>
      </c>
      <c r="F27" s="15"/>
    </row>
    <row r="28" spans="1:10" s="3" customFormat="1" ht="13.8" x14ac:dyDescent="0.3">
      <c r="A28" s="30"/>
      <c r="B28" s="87"/>
      <c r="C28" s="667" t="s">
        <v>271</v>
      </c>
      <c r="D28" s="667"/>
      <c r="E28" s="176">
        <f>E27</f>
        <v>85.2</v>
      </c>
      <c r="F28" s="22">
        <f>E28/E69</f>
        <v>0.13014587947758344</v>
      </c>
      <c r="G28" s="21">
        <f>E28*D1</f>
        <v>0</v>
      </c>
    </row>
    <row r="29" spans="1:10" s="3" customFormat="1" ht="13.8" x14ac:dyDescent="0.3">
      <c r="A29" s="30"/>
      <c r="B29" s="87"/>
      <c r="C29" s="18"/>
      <c r="D29" s="28"/>
      <c r="E29" s="217"/>
    </row>
    <row r="30" spans="1:10" s="3" customFormat="1" ht="13.8" x14ac:dyDescent="0.3">
      <c r="A30" s="10" t="s">
        <v>207</v>
      </c>
      <c r="B30" s="281">
        <v>10</v>
      </c>
      <c r="C30" s="12" t="s">
        <v>272</v>
      </c>
      <c r="D30" s="173">
        <f>B30</f>
        <v>10</v>
      </c>
      <c r="E30" s="174">
        <f>D30</f>
        <v>10</v>
      </c>
      <c r="F30" s="15"/>
    </row>
    <row r="31" spans="1:10" s="3" customFormat="1" ht="13.8" x14ac:dyDescent="0.3">
      <c r="A31" s="30"/>
      <c r="B31" s="87"/>
      <c r="C31" s="667" t="s">
        <v>273</v>
      </c>
      <c r="D31" s="667"/>
      <c r="E31" s="141">
        <f>E30</f>
        <v>10</v>
      </c>
      <c r="F31" s="22">
        <f>E31/E69</f>
        <v>1.5275337966852516E-2</v>
      </c>
      <c r="G31" s="21">
        <f>E31*D1</f>
        <v>0</v>
      </c>
    </row>
    <row r="32" spans="1:10" s="3" customFormat="1" ht="13.8" x14ac:dyDescent="0.3">
      <c r="A32" s="10" t="s">
        <v>140</v>
      </c>
      <c r="B32" s="11"/>
      <c r="C32" s="12"/>
      <c r="D32" s="24"/>
      <c r="E32" s="172"/>
      <c r="F32" s="15"/>
    </row>
    <row r="33" spans="1:10" s="3" customFormat="1" ht="13.8" x14ac:dyDescent="0.3">
      <c r="A33" s="30" t="s">
        <v>391</v>
      </c>
      <c r="B33" s="170">
        <v>0.08</v>
      </c>
      <c r="C33" s="18" t="s">
        <v>275</v>
      </c>
      <c r="D33" s="117">
        <f>Cotizaciones!I25+Cotizaciones!F26</f>
        <v>1025</v>
      </c>
      <c r="E33" s="117">
        <f>B33*D33</f>
        <v>82</v>
      </c>
      <c r="G33" s="3" t="str">
        <f>+A10</f>
        <v>Siembra Directa</v>
      </c>
      <c r="I33" s="3">
        <f>+E33*B3</f>
        <v>0</v>
      </c>
      <c r="J33" s="3" t="s">
        <v>383</v>
      </c>
    </row>
    <row r="34" spans="1:10" s="3" customFormat="1" ht="13.8" x14ac:dyDescent="0.3">
      <c r="A34" s="30" t="s">
        <v>392</v>
      </c>
      <c r="B34" s="170">
        <v>0.16</v>
      </c>
      <c r="C34" s="18" t="s">
        <v>275</v>
      </c>
      <c r="D34" s="117">
        <f>Cotizaciones!I34+Cotizaciones!F26</f>
        <v>645</v>
      </c>
      <c r="E34" s="117">
        <f>B34*D34</f>
        <v>103.2</v>
      </c>
      <c r="G34" s="93" t="str">
        <f>+A14</f>
        <v>Fertilización</v>
      </c>
      <c r="I34" s="360">
        <f>+E34*B3</f>
        <v>0</v>
      </c>
      <c r="J34" s="3" t="s">
        <v>268</v>
      </c>
    </row>
    <row r="35" spans="1:10" s="3" customFormat="1" ht="13.8" x14ac:dyDescent="0.3">
      <c r="A35" s="30"/>
      <c r="B35" s="18"/>
      <c r="C35" s="667" t="s">
        <v>280</v>
      </c>
      <c r="D35" s="667"/>
      <c r="E35" s="176">
        <f>SUM(E33:E34)</f>
        <v>185.2</v>
      </c>
      <c r="F35" s="22">
        <f>E35/E69</f>
        <v>0.28289925914610858</v>
      </c>
      <c r="G35" s="21">
        <f>E35*D1</f>
        <v>0</v>
      </c>
    </row>
    <row r="36" spans="1:10" s="3" customFormat="1" ht="13.8" x14ac:dyDescent="0.3">
      <c r="A36" s="10" t="s">
        <v>118</v>
      </c>
      <c r="B36" s="12"/>
      <c r="C36" s="67"/>
      <c r="D36" s="67"/>
      <c r="E36" s="230"/>
      <c r="F36" s="15"/>
    </row>
    <row r="37" spans="1:10" s="3" customFormat="1" ht="13.8" x14ac:dyDescent="0.3">
      <c r="A37" s="30" t="s">
        <v>123</v>
      </c>
      <c r="B37" s="171">
        <v>0.15</v>
      </c>
      <c r="C37" s="18" t="s">
        <v>283</v>
      </c>
      <c r="D37" s="19">
        <f>+Cotizaciones!I20</f>
        <v>20</v>
      </c>
      <c r="E37" s="117">
        <f>B37*D37</f>
        <v>3</v>
      </c>
      <c r="G37" s="3" t="str">
        <f>+A8</f>
        <v>Barbecho Quimico</v>
      </c>
      <c r="I37" s="3" t="str">
        <f>+A11</f>
        <v xml:space="preserve">Pulverizacion Post-emergente </v>
      </c>
      <c r="J37" s="3" t="s">
        <v>347</v>
      </c>
    </row>
    <row r="38" spans="1:10" s="3" customFormat="1" ht="13.8" x14ac:dyDescent="0.3">
      <c r="A38" s="30" t="s">
        <v>125</v>
      </c>
      <c r="B38" s="171">
        <v>0</v>
      </c>
      <c r="C38" s="18" t="s">
        <v>283</v>
      </c>
      <c r="D38" s="19"/>
      <c r="E38" s="146">
        <f>B38*D38</f>
        <v>0</v>
      </c>
    </row>
    <row r="39" spans="1:10" s="3" customFormat="1" ht="13.8" x14ac:dyDescent="0.3">
      <c r="A39" s="30" t="s">
        <v>127</v>
      </c>
      <c r="B39" s="171">
        <v>4</v>
      </c>
      <c r="C39" s="18" t="s">
        <v>283</v>
      </c>
      <c r="D39" s="595">
        <v>7.2</v>
      </c>
      <c r="E39" s="117">
        <f>B39*D39</f>
        <v>28.8</v>
      </c>
      <c r="G39" s="3" t="str">
        <f>+G37</f>
        <v>Barbecho Quimico</v>
      </c>
      <c r="I39" s="3" t="str">
        <f>+I37</f>
        <v xml:space="preserve">Pulverizacion Post-emergente </v>
      </c>
      <c r="J39" s="3" t="s">
        <v>383</v>
      </c>
    </row>
    <row r="40" spans="1:10" s="3" customFormat="1" ht="13.8" x14ac:dyDescent="0.3">
      <c r="A40" s="30" t="s">
        <v>7</v>
      </c>
      <c r="B40" s="171">
        <v>0</v>
      </c>
      <c r="C40" s="18" t="s">
        <v>283</v>
      </c>
      <c r="D40" s="595">
        <v>6.2</v>
      </c>
      <c r="E40" s="117">
        <f>B40*D40</f>
        <v>0</v>
      </c>
      <c r="G40" s="3" t="str">
        <f>+G39</f>
        <v>Barbecho Quimico</v>
      </c>
    </row>
    <row r="41" spans="1:10" s="3" customFormat="1" ht="13.8" x14ac:dyDescent="0.3">
      <c r="A41" s="30" t="s">
        <v>84</v>
      </c>
      <c r="B41" s="171">
        <v>0</v>
      </c>
      <c r="C41" s="18" t="s">
        <v>283</v>
      </c>
      <c r="D41" s="19">
        <f>+Cotizaciones!I36</f>
        <v>7</v>
      </c>
      <c r="E41" s="117">
        <f>B41*D41</f>
        <v>0</v>
      </c>
    </row>
    <row r="42" spans="1:10" s="3" customFormat="1" ht="13.8" x14ac:dyDescent="0.3">
      <c r="A42" s="30" t="s">
        <v>284</v>
      </c>
      <c r="B42" s="171">
        <v>0</v>
      </c>
      <c r="C42" s="18" t="s">
        <v>283</v>
      </c>
      <c r="D42" s="19">
        <f>+Cotizaciones!I26</f>
        <v>28</v>
      </c>
      <c r="E42" s="146">
        <v>0</v>
      </c>
    </row>
    <row r="43" spans="1:10" s="3" customFormat="1" ht="13.8" x14ac:dyDescent="0.3">
      <c r="A43" s="30" t="s">
        <v>129</v>
      </c>
      <c r="B43" s="171">
        <v>2</v>
      </c>
      <c r="C43" s="18" t="s">
        <v>283</v>
      </c>
      <c r="D43" s="19">
        <f>+Cotizaciones!I10</f>
        <v>5.7</v>
      </c>
      <c r="E43" s="146">
        <f>B43*D43</f>
        <v>11.4</v>
      </c>
      <c r="G43" s="3" t="str">
        <f>+I37</f>
        <v xml:space="preserve">Pulverizacion Post-emergente </v>
      </c>
      <c r="J43" s="3" t="s">
        <v>383</v>
      </c>
    </row>
    <row r="44" spans="1:10" s="3" customFormat="1" ht="13.8" x14ac:dyDescent="0.3">
      <c r="A44" s="30" t="s">
        <v>286</v>
      </c>
      <c r="B44" s="171">
        <v>1</v>
      </c>
      <c r="C44" s="18" t="s">
        <v>283</v>
      </c>
      <c r="D44" s="19">
        <f>+Cotizaciones!I24</f>
        <v>11.8</v>
      </c>
      <c r="E44" s="117">
        <f>B44*D44</f>
        <v>11.8</v>
      </c>
      <c r="G44" s="3" t="str">
        <f>+I37</f>
        <v xml:space="preserve">Pulverizacion Post-emergente </v>
      </c>
    </row>
    <row r="45" spans="1:10" s="3" customFormat="1" ht="13.8" x14ac:dyDescent="0.3">
      <c r="A45" s="30" t="s">
        <v>130</v>
      </c>
      <c r="B45" s="171">
        <v>0</v>
      </c>
      <c r="C45" s="18" t="s">
        <v>283</v>
      </c>
      <c r="D45" s="19">
        <f>+Cotizaciones!I31</f>
        <v>20</v>
      </c>
      <c r="E45" s="117">
        <f>B45*D45</f>
        <v>0</v>
      </c>
      <c r="G45" s="3" t="str">
        <f>+I37</f>
        <v xml:space="preserve">Pulverizacion Post-emergente </v>
      </c>
    </row>
    <row r="46" spans="1:10" s="3" customFormat="1" ht="13.8" x14ac:dyDescent="0.3">
      <c r="A46" s="30"/>
      <c r="B46" s="30"/>
      <c r="C46" s="667" t="s">
        <v>288</v>
      </c>
      <c r="D46" s="667"/>
      <c r="E46" s="176">
        <f>SUM(E37:E45)</f>
        <v>55</v>
      </c>
      <c r="F46" s="22">
        <f>E46/E69</f>
        <v>8.4014358817688845E-2</v>
      </c>
      <c r="G46" s="21">
        <f>E46*D1</f>
        <v>0</v>
      </c>
    </row>
    <row r="47" spans="1:10" s="3" customFormat="1" ht="13.8" x14ac:dyDescent="0.3">
      <c r="A47" s="30"/>
      <c r="B47" s="27"/>
      <c r="C47" s="18"/>
      <c r="D47" s="28"/>
      <c r="E47" s="217"/>
    </row>
    <row r="48" spans="1:10" s="3" customFormat="1" ht="13.8" x14ac:dyDescent="0.3">
      <c r="A48" s="10" t="s">
        <v>289</v>
      </c>
      <c r="B48" s="214">
        <v>1</v>
      </c>
      <c r="C48" s="12" t="s">
        <v>290</v>
      </c>
      <c r="D48" s="177">
        <v>90</v>
      </c>
      <c r="E48" s="174">
        <f>+D48*B48</f>
        <v>90</v>
      </c>
      <c r="F48" s="15"/>
    </row>
    <row r="49" spans="1:6" s="3" customFormat="1" ht="13.8" x14ac:dyDescent="0.3">
      <c r="A49" s="35"/>
      <c r="B49" s="36"/>
      <c r="C49" s="667" t="s">
        <v>291</v>
      </c>
      <c r="D49" s="667"/>
      <c r="E49" s="176">
        <f>E48</f>
        <v>90</v>
      </c>
      <c r="F49" s="22">
        <f>E49/E69</f>
        <v>0.13747804170167266</v>
      </c>
    </row>
    <row r="50" spans="1:6" s="3" customFormat="1" ht="13.8" x14ac:dyDescent="0.3">
      <c r="A50" s="10" t="s">
        <v>300</v>
      </c>
      <c r="B50" s="69"/>
      <c r="C50" s="12"/>
      <c r="D50" s="24"/>
      <c r="E50" s="172"/>
      <c r="F50" s="15"/>
    </row>
    <row r="51" spans="1:6" s="3" customFormat="1" ht="13.8" x14ac:dyDescent="0.3">
      <c r="A51" s="213" t="s">
        <v>301</v>
      </c>
      <c r="B51" s="181">
        <v>0</v>
      </c>
      <c r="C51" s="18" t="s">
        <v>302</v>
      </c>
      <c r="D51" s="145">
        <f>Cotizaciones!F24</f>
        <v>3.3</v>
      </c>
      <c r="E51" s="146">
        <f>D51*B51*B74</f>
        <v>0</v>
      </c>
    </row>
    <row r="52" spans="1:6" s="3" customFormat="1" ht="13.8" x14ac:dyDescent="0.3">
      <c r="A52" s="35" t="s">
        <v>303</v>
      </c>
      <c r="B52" s="181">
        <v>0</v>
      </c>
      <c r="C52" s="18" t="s">
        <v>355</v>
      </c>
      <c r="D52" s="145">
        <f>Cotizaciones!I41/210</f>
        <v>1.9523809523809523</v>
      </c>
      <c r="E52" s="146">
        <f>D52*B52*B74</f>
        <v>0</v>
      </c>
    </row>
    <row r="53" spans="1:6" s="3" customFormat="1" ht="13.8" x14ac:dyDescent="0.3">
      <c r="A53" s="35" t="s">
        <v>305</v>
      </c>
      <c r="B53" s="181">
        <v>3</v>
      </c>
      <c r="C53" s="18" t="s">
        <v>302</v>
      </c>
      <c r="D53" s="117">
        <f>Cotizaciones!F30</f>
        <v>3</v>
      </c>
      <c r="E53" s="117">
        <f>+D53*B53*$B$76</f>
        <v>40.5</v>
      </c>
    </row>
    <row r="54" spans="1:6" s="3" customFormat="1" ht="13.8" x14ac:dyDescent="0.3">
      <c r="A54" s="35"/>
      <c r="B54" s="181"/>
      <c r="C54" s="18"/>
      <c r="D54" s="276"/>
      <c r="E54" s="117"/>
    </row>
    <row r="55" spans="1:6" s="3" customFormat="1" ht="13.8" x14ac:dyDescent="0.3">
      <c r="A55" s="35" t="s">
        <v>306</v>
      </c>
      <c r="B55" s="181">
        <v>1</v>
      </c>
      <c r="C55" s="18" t="s">
        <v>302</v>
      </c>
      <c r="D55" s="117">
        <f>Cotizaciones!F35</f>
        <v>5</v>
      </c>
      <c r="E55" s="117">
        <f>+D55*B55*$B$76</f>
        <v>22.5</v>
      </c>
    </row>
    <row r="56" spans="1:6" s="3" customFormat="1" ht="13.8" x14ac:dyDescent="0.3">
      <c r="A56" s="35" t="s">
        <v>83</v>
      </c>
      <c r="B56" s="181">
        <v>1</v>
      </c>
      <c r="C56" s="18" t="s">
        <v>302</v>
      </c>
      <c r="D56" s="117">
        <f>Cotizaciones!F36/Cotizaciones!M20</f>
        <v>0.26541736299480206</v>
      </c>
      <c r="E56" s="117">
        <f>+D56*B56*$B$76</f>
        <v>1.1943781334766093</v>
      </c>
    </row>
    <row r="57" spans="1:6" s="3" customFormat="1" ht="13.8" x14ac:dyDescent="0.3">
      <c r="A57" s="35" t="s">
        <v>307</v>
      </c>
      <c r="B57" s="181">
        <v>1</v>
      </c>
      <c r="C57" s="18" t="s">
        <v>302</v>
      </c>
      <c r="D57" s="117">
        <f>+Cotizaciones!E5/Cotizaciones!M20</f>
        <v>0.53083472598960413</v>
      </c>
      <c r="E57" s="117">
        <f>+D57*B57*$B$76</f>
        <v>2.3887562669532185</v>
      </c>
    </row>
    <row r="58" spans="1:6" s="3" customFormat="1" ht="13.8" x14ac:dyDescent="0.3">
      <c r="A58" s="35" t="s">
        <v>308</v>
      </c>
      <c r="B58" s="181">
        <v>1</v>
      </c>
      <c r="C58" s="18" t="s">
        <v>302</v>
      </c>
      <c r="D58" s="117">
        <f>+'Cebada SP'!D71</f>
        <v>20</v>
      </c>
      <c r="E58" s="117">
        <f>+D58*B58*$B$76</f>
        <v>90</v>
      </c>
    </row>
    <row r="59" spans="1:6" s="3" customFormat="1" ht="13.8" x14ac:dyDescent="0.3">
      <c r="A59" s="35" t="s">
        <v>309</v>
      </c>
      <c r="B59" s="181">
        <v>1</v>
      </c>
      <c r="C59" s="18" t="s">
        <v>295</v>
      </c>
      <c r="D59" s="146">
        <f>+Cotizaciones!B13*'Maiz 2da'!B76%</f>
        <v>9</v>
      </c>
      <c r="E59" s="117">
        <f>D59</f>
        <v>9</v>
      </c>
    </row>
    <row r="60" spans="1:6" s="3" customFormat="1" ht="13.8" x14ac:dyDescent="0.3">
      <c r="A60" s="35"/>
      <c r="B60" s="37"/>
      <c r="C60" s="667" t="s">
        <v>310</v>
      </c>
      <c r="D60" s="667"/>
      <c r="E60" s="176">
        <f>SUM(E53:E59)</f>
        <v>165.58313440042983</v>
      </c>
      <c r="F60" s="22">
        <f>E60/E69</f>
        <v>0.25293383395773289</v>
      </c>
    </row>
    <row r="61" spans="1:6" s="3" customFormat="1" ht="13.8" x14ac:dyDescent="0.3">
      <c r="A61" s="35"/>
      <c r="B61" s="37"/>
      <c r="C61" s="7"/>
      <c r="D61" s="7"/>
      <c r="E61" s="227"/>
    </row>
    <row r="62" spans="1:6" s="3" customFormat="1" ht="13.8" x14ac:dyDescent="0.3">
      <c r="A62" s="35"/>
      <c r="B62" s="36"/>
      <c r="C62" s="18"/>
      <c r="D62" s="28"/>
      <c r="E62" s="217"/>
    </row>
    <row r="63" spans="1:6" s="3" customFormat="1" ht="13.8" x14ac:dyDescent="0.3">
      <c r="A63" s="10" t="s">
        <v>292</v>
      </c>
      <c r="B63" s="231">
        <v>1</v>
      </c>
      <c r="C63" s="147" t="s">
        <v>241</v>
      </c>
      <c r="D63" s="147">
        <f>B63%*1000</f>
        <v>10</v>
      </c>
      <c r="E63" s="174">
        <f>D63</f>
        <v>10</v>
      </c>
      <c r="F63" s="15"/>
    </row>
    <row r="64" spans="1:6" s="3" customFormat="1" ht="13.8" x14ac:dyDescent="0.3">
      <c r="A64" s="35"/>
      <c r="B64" s="36"/>
      <c r="C64" s="667" t="s">
        <v>293</v>
      </c>
      <c r="D64" s="667"/>
      <c r="E64" s="176">
        <f>E63</f>
        <v>10</v>
      </c>
      <c r="F64" s="22">
        <f>E64/E69</f>
        <v>1.5275337966852516E-2</v>
      </c>
    </row>
    <row r="66" spans="1:6" s="3" customFormat="1" ht="13.8" x14ac:dyDescent="0.3">
      <c r="A66" s="10" t="s">
        <v>294</v>
      </c>
      <c r="B66" s="214">
        <v>0</v>
      </c>
      <c r="C66" s="12" t="s">
        <v>295</v>
      </c>
      <c r="D66" s="218">
        <v>0</v>
      </c>
      <c r="E66" s="175">
        <v>0</v>
      </c>
      <c r="F66" s="15"/>
    </row>
    <row r="67" spans="1:6" s="3" customFormat="1" ht="13.8" x14ac:dyDescent="0.3">
      <c r="A67" s="30"/>
      <c r="B67" s="27"/>
      <c r="C67" s="667" t="s">
        <v>296</v>
      </c>
      <c r="D67" s="667"/>
      <c r="E67" s="176">
        <v>0</v>
      </c>
    </row>
    <row r="68" spans="1:6" s="3" customFormat="1" ht="13.8" x14ac:dyDescent="0.3">
      <c r="A68" s="30"/>
      <c r="B68" s="27"/>
      <c r="C68" s="7"/>
      <c r="D68" s="7"/>
      <c r="E68" s="227"/>
    </row>
    <row r="69" spans="1:6" s="3" customFormat="1" ht="13.8" x14ac:dyDescent="0.3">
      <c r="A69" s="72"/>
      <c r="B69" s="73"/>
      <c r="C69" s="673" t="s">
        <v>317</v>
      </c>
      <c r="D69" s="673"/>
      <c r="E69" s="220">
        <f>E21+E25+E28+E31+E35+E46+E49+E64+E67</f>
        <v>654.65</v>
      </c>
      <c r="F69" s="75">
        <f>F21+F25+F28+F31+F35+F46+F49+F60+F64</f>
        <v>1.2529338339577329</v>
      </c>
    </row>
    <row r="70" spans="1:6" s="3" customFormat="1" ht="13.8" x14ac:dyDescent="0.3">
      <c r="A70" s="30"/>
      <c r="B70" s="27"/>
      <c r="C70" s="615"/>
      <c r="D70" s="615"/>
      <c r="E70" s="176"/>
      <c r="F70" s="22"/>
    </row>
    <row r="71" spans="1:6" s="3" customFormat="1" ht="13.8" x14ac:dyDescent="0.3">
      <c r="A71" s="213" t="s">
        <v>356</v>
      </c>
      <c r="B71" s="27"/>
      <c r="C71" s="566"/>
      <c r="D71" s="566"/>
      <c r="E71" s="227">
        <f>+Cotizaciones!B13</f>
        <v>200</v>
      </c>
      <c r="F71" s="567"/>
    </row>
    <row r="72" spans="1:6" s="3" customFormat="1" ht="13.8" x14ac:dyDescent="0.3">
      <c r="A72" s="213" t="s">
        <v>311</v>
      </c>
      <c r="B72" s="30"/>
      <c r="C72" s="18"/>
      <c r="D72" s="28"/>
      <c r="E72" s="227">
        <f>+E60/B76</f>
        <v>36.796252088984403</v>
      </c>
      <c r="F72" s="22">
        <f>+E72/E71</f>
        <v>0.18398126044492202</v>
      </c>
    </row>
    <row r="73" spans="1:6" s="3" customFormat="1" ht="13.8" x14ac:dyDescent="0.3">
      <c r="A73" s="213" t="s">
        <v>312</v>
      </c>
      <c r="D73" s="28"/>
      <c r="E73" s="227">
        <f>+E71-E72</f>
        <v>163.2037479110156</v>
      </c>
    </row>
    <row r="74" spans="1:6" s="3" customFormat="1" ht="13.8" x14ac:dyDescent="0.3">
      <c r="D74" s="28"/>
      <c r="E74" s="18"/>
    </row>
    <row r="75" spans="1:6" s="3" customFormat="1" thickBot="1" x14ac:dyDescent="0.35">
      <c r="D75" s="28"/>
      <c r="E75" s="39"/>
    </row>
    <row r="76" spans="1:6" s="3" customFormat="1" ht="13.8" x14ac:dyDescent="0.3">
      <c r="A76" s="193" t="s">
        <v>315</v>
      </c>
      <c r="B76" s="353">
        <v>4.5</v>
      </c>
      <c r="C76" s="194" t="s">
        <v>316</v>
      </c>
      <c r="D76" s="455" t="s">
        <v>394</v>
      </c>
      <c r="E76" s="33"/>
      <c r="F76" s="33"/>
    </row>
    <row r="77" spans="1:6" s="3" customFormat="1" ht="13.8" x14ac:dyDescent="0.3">
      <c r="A77" s="190" t="s">
        <v>341</v>
      </c>
      <c r="B77" s="195">
        <f>+E73</f>
        <v>163.2037479110156</v>
      </c>
      <c r="C77" s="196" t="s">
        <v>21</v>
      </c>
      <c r="D77" s="456"/>
      <c r="E77" s="33"/>
      <c r="F77" s="33"/>
    </row>
    <row r="78" spans="1:6" s="3" customFormat="1" ht="13.8" x14ac:dyDescent="0.3">
      <c r="A78" s="191" t="s">
        <v>317</v>
      </c>
      <c r="B78" s="195">
        <f>E21+E25+E28+E31+E35+E46+E49+E64+E67</f>
        <v>654.65</v>
      </c>
      <c r="C78" s="197" t="s">
        <v>318</v>
      </c>
      <c r="D78" s="457">
        <f>+B78+'Cebada SP'!B82</f>
        <v>1699.3600000000001</v>
      </c>
      <c r="E78" s="183"/>
      <c r="F78" s="183"/>
    </row>
    <row r="79" spans="1:6" s="3" customFormat="1" ht="13.8" x14ac:dyDescent="0.3">
      <c r="A79" s="190" t="s">
        <v>322</v>
      </c>
      <c r="B79" s="195">
        <f>+B77*B76*0.98</f>
        <v>719.7285282875788</v>
      </c>
      <c r="C79" s="196" t="s">
        <v>318</v>
      </c>
      <c r="D79" s="452">
        <f>+B79+'Cebada SP'!B84</f>
        <v>1872.4653716306875</v>
      </c>
      <c r="E79" s="30"/>
    </row>
    <row r="80" spans="1:6" s="3" customFormat="1" ht="13.8" x14ac:dyDescent="0.3">
      <c r="A80" s="191" t="s">
        <v>321</v>
      </c>
      <c r="B80" s="195">
        <f>B79-B78</f>
        <v>65.07852828757882</v>
      </c>
      <c r="C80" s="197" t="s">
        <v>318</v>
      </c>
      <c r="D80" s="452">
        <f>+D79-D78</f>
        <v>173.10537163068739</v>
      </c>
      <c r="E80" s="30"/>
    </row>
    <row r="81" spans="1:8" s="3" customFormat="1" ht="13.8" x14ac:dyDescent="0.3">
      <c r="A81" s="191" t="s">
        <v>325</v>
      </c>
      <c r="B81" s="277">
        <f>B80/B78</f>
        <v>9.9409651397813825E-2</v>
      </c>
      <c r="C81" s="197"/>
      <c r="D81" s="458">
        <f>+D80/D78</f>
        <v>0.10186503838544356</v>
      </c>
      <c r="E81" s="30"/>
    </row>
    <row r="82" spans="1:8" s="3" customFormat="1" ht="13.8" x14ac:dyDescent="0.3">
      <c r="A82" s="190" t="s">
        <v>326</v>
      </c>
      <c r="B82" s="282">
        <f>+B78/E73</f>
        <v>4.0112436655372532</v>
      </c>
      <c r="C82" s="197"/>
      <c r="D82" s="452"/>
      <c r="E82" s="30"/>
    </row>
    <row r="83" spans="1:8" s="3" customFormat="1" ht="13.8" x14ac:dyDescent="0.3">
      <c r="A83" s="191" t="s">
        <v>164</v>
      </c>
      <c r="B83" s="278">
        <f>E21+E25+E28*0.8+E31*0.9+E35+E46+E67</f>
        <v>536.61</v>
      </c>
      <c r="C83" s="197" t="s">
        <v>318</v>
      </c>
      <c r="D83" s="452">
        <f>+B83+'Cebada SP'!B88</f>
        <v>1476.32</v>
      </c>
      <c r="E83" s="30"/>
    </row>
    <row r="84" spans="1:8" s="3" customFormat="1" thickBot="1" x14ac:dyDescent="0.35">
      <c r="A84" s="192" t="s">
        <v>327</v>
      </c>
      <c r="B84" s="279">
        <f>B80/B83</f>
        <v>0.12127714408523661</v>
      </c>
      <c r="C84" s="199"/>
      <c r="D84" s="459">
        <f>+D80/D83</f>
        <v>0.11725464102002776</v>
      </c>
      <c r="E84" s="30"/>
    </row>
    <row r="85" spans="1:8" s="3" customFormat="1" ht="13.8" x14ac:dyDescent="0.3">
      <c r="A85" s="18"/>
      <c r="B85" s="41"/>
      <c r="C85" s="41"/>
      <c r="D85" s="28"/>
      <c r="E85" s="30"/>
    </row>
    <row r="86" spans="1:8" s="3" customFormat="1" ht="13.8" x14ac:dyDescent="0.3">
      <c r="A86" s="18"/>
      <c r="B86" s="41"/>
      <c r="C86" s="41"/>
      <c r="D86" s="28"/>
      <c r="E86" s="30"/>
    </row>
    <row r="87" spans="1:8" s="3" customFormat="1" ht="13.8" x14ac:dyDescent="0.3">
      <c r="A87" s="668" t="s">
        <v>317</v>
      </c>
      <c r="B87" s="668"/>
      <c r="C87" s="42">
        <f>E69</f>
        <v>654.65</v>
      </c>
      <c r="D87" s="6"/>
    </row>
    <row r="88" spans="1:8" s="3" customFormat="1" ht="13.8" x14ac:dyDescent="0.3">
      <c r="A88" s="762" t="s">
        <v>395</v>
      </c>
      <c r="B88" s="762"/>
      <c r="C88" s="762"/>
      <c r="D88" s="762"/>
      <c r="E88" s="762"/>
      <c r="F88" s="762"/>
      <c r="G88" s="762"/>
      <c r="H88" s="762"/>
    </row>
    <row r="89" spans="1:8" s="3" customFormat="1" ht="13.8" x14ac:dyDescent="0.3">
      <c r="A89" s="43" t="s">
        <v>332</v>
      </c>
      <c r="B89" s="44">
        <f>E89-1.5</f>
        <v>3</v>
      </c>
      <c r="C89" s="44">
        <f>E89-1</f>
        <v>3.5</v>
      </c>
      <c r="D89" s="44">
        <f>E89-0.5</f>
        <v>4</v>
      </c>
      <c r="E89" s="45">
        <f>B76</f>
        <v>4.5</v>
      </c>
      <c r="F89" s="44">
        <f>E89+0.5</f>
        <v>5</v>
      </c>
      <c r="G89" s="44">
        <f>E89+0.8</f>
        <v>5.3</v>
      </c>
      <c r="H89" s="46">
        <f>E89+1.2</f>
        <v>5.7</v>
      </c>
    </row>
    <row r="90" spans="1:8" s="3" customFormat="1" ht="13.8" x14ac:dyDescent="0.3">
      <c r="A90" s="47">
        <f>A91-10</f>
        <v>133.2037479110156</v>
      </c>
      <c r="B90" s="48">
        <f>B99/C87*100</f>
        <v>-38.958031966234358</v>
      </c>
      <c r="C90" s="48">
        <f>C99/C87*100</f>
        <v>-28.784370627273415</v>
      </c>
      <c r="D90" s="48">
        <f>D99/C87*100</f>
        <v>-18.610709288312471</v>
      </c>
      <c r="E90" s="49">
        <f>E99/C87*100</f>
        <v>-8.4370479493515287</v>
      </c>
      <c r="F90" s="48">
        <f>F99/C87*100</f>
        <v>1.7366133896094154</v>
      </c>
      <c r="G90" s="48">
        <f>G99/C87*100</f>
        <v>7.8408101929859741</v>
      </c>
      <c r="H90" s="50">
        <f>H99/C87*100</f>
        <v>15.979739264154723</v>
      </c>
    </row>
    <row r="91" spans="1:8" s="3" customFormat="1" ht="13.8" x14ac:dyDescent="0.3">
      <c r="A91" s="47">
        <f>A92-10</f>
        <v>143.2037479110156</v>
      </c>
      <c r="B91" s="48">
        <f>B100/C87*100</f>
        <v>-34.375430576178601</v>
      </c>
      <c r="C91" s="48">
        <f>C100/C87*100</f>
        <v>-23.438002338875034</v>
      </c>
      <c r="D91" s="48">
        <f>D100/C87*100</f>
        <v>-12.500574101571466</v>
      </c>
      <c r="E91" s="49">
        <f>E100/C87*100</f>
        <v>-1.5631458642678953</v>
      </c>
      <c r="F91" s="48">
        <f>F100/C87*100</f>
        <v>9.3742823730356744</v>
      </c>
      <c r="G91" s="48">
        <f>G100/C87*100</f>
        <v>15.936739315417809</v>
      </c>
      <c r="H91" s="50">
        <f>H100/C87*100</f>
        <v>24.686681905260659</v>
      </c>
    </row>
    <row r="92" spans="1:8" s="3" customFormat="1" ht="13.8" x14ac:dyDescent="0.3">
      <c r="A92" s="47">
        <f>A93-10</f>
        <v>153.2037479110156</v>
      </c>
      <c r="B92" s="48">
        <f>B101/C87*100</f>
        <v>-29.792829186122848</v>
      </c>
      <c r="C92" s="48">
        <f>C101/C87*100</f>
        <v>-18.091634050476653</v>
      </c>
      <c r="D92" s="48">
        <f>D101/C87*100</f>
        <v>-6.3904389148304572</v>
      </c>
      <c r="E92" s="49">
        <f>E101/C87*100</f>
        <v>5.3107562208157377</v>
      </c>
      <c r="F92" s="48">
        <f>F101/C87*100</f>
        <v>17.011951356461932</v>
      </c>
      <c r="G92" s="48">
        <f>G101/C87*100</f>
        <v>24.03266843784964</v>
      </c>
      <c r="H92" s="50">
        <f>H101/C87*100</f>
        <v>33.393624546366595</v>
      </c>
    </row>
    <row r="93" spans="1:8" s="3" customFormat="1" ht="13.8" x14ac:dyDescent="0.3">
      <c r="A93" s="51">
        <f>B77</f>
        <v>163.2037479110156</v>
      </c>
      <c r="B93" s="52">
        <f>B102/C87*100</f>
        <v>-25.210227796067091</v>
      </c>
      <c r="C93" s="53">
        <f>C102/C87*100</f>
        <v>-12.745265762078272</v>
      </c>
      <c r="D93" s="53">
        <f>D102/C87*100</f>
        <v>-0.2803037280894507</v>
      </c>
      <c r="E93" s="54">
        <f>E102/C87*100</f>
        <v>12.18465830589937</v>
      </c>
      <c r="F93" s="53">
        <f>F102/C87*100</f>
        <v>24.649620339888191</v>
      </c>
      <c r="G93" s="53">
        <f>G102/C87*100</f>
        <v>32.128597560281477</v>
      </c>
      <c r="H93" s="55">
        <f>H102/C87*100</f>
        <v>42.100567187472535</v>
      </c>
    </row>
    <row r="94" spans="1:8" s="3" customFormat="1" ht="13.8" x14ac:dyDescent="0.3">
      <c r="A94" s="47">
        <f>A93+10</f>
        <v>173.2037479110156</v>
      </c>
      <c r="B94" s="56">
        <f>B103/C87*100</f>
        <v>-20.627626406011338</v>
      </c>
      <c r="C94" s="56">
        <f>C103/C87*100</f>
        <v>-7.3988974736798898</v>
      </c>
      <c r="D94" s="56">
        <f>D103/C87*100</f>
        <v>5.8298314586515563</v>
      </c>
      <c r="E94" s="57">
        <f>E103/C87*100</f>
        <v>19.058560390983004</v>
      </c>
      <c r="F94" s="56">
        <f>F103/C87*100</f>
        <v>32.287289323314447</v>
      </c>
      <c r="G94" s="56">
        <f>G103/C87*100</f>
        <v>40.224526682713311</v>
      </c>
      <c r="H94" s="58">
        <f>H103/C87*100</f>
        <v>50.807509828578468</v>
      </c>
    </row>
    <row r="95" spans="1:8" s="3" customFormat="1" ht="13.8" x14ac:dyDescent="0.3">
      <c r="A95" s="47">
        <f>A94+10</f>
        <v>183.2037479110156</v>
      </c>
      <c r="B95" s="56">
        <f>B104/C87*100</f>
        <v>-16.045025015955584</v>
      </c>
      <c r="C95" s="56">
        <f>C104/C87*100</f>
        <v>-2.0525291852815095</v>
      </c>
      <c r="D95" s="56">
        <f>D104/C87*100</f>
        <v>11.939966645392563</v>
      </c>
      <c r="E95" s="57">
        <f>E104/C87*100</f>
        <v>25.932462476066636</v>
      </c>
      <c r="F95" s="56">
        <f>F104/C87*100</f>
        <v>39.924958306740713</v>
      </c>
      <c r="G95" s="56">
        <f>G104/C87*100</f>
        <v>48.320455805145144</v>
      </c>
      <c r="H95" s="58">
        <f>H104/C87*100</f>
        <v>59.514452469684421</v>
      </c>
    </row>
    <row r="96" spans="1:8" s="3" customFormat="1" ht="13.8" x14ac:dyDescent="0.3">
      <c r="A96" s="47">
        <f>A95+10</f>
        <v>193.2037479110156</v>
      </c>
      <c r="B96" s="56">
        <f>B105/C87*100</f>
        <v>-11.462423625899827</v>
      </c>
      <c r="C96" s="56">
        <f>C105/C87*100</f>
        <v>3.2938391031168717</v>
      </c>
      <c r="D96" s="56">
        <f>D105/C87*100</f>
        <v>18.050101832133571</v>
      </c>
      <c r="E96" s="57">
        <f>E105/C87*100</f>
        <v>32.806364561150268</v>
      </c>
      <c r="F96" s="56">
        <f>F105/C87*100</f>
        <v>47.562627290166965</v>
      </c>
      <c r="G96" s="56">
        <f>G105/C87*100</f>
        <v>56.416384927576978</v>
      </c>
      <c r="H96" s="58">
        <f>H105/C87*100</f>
        <v>68.221395110790354</v>
      </c>
    </row>
    <row r="97" spans="1:8" s="3" customFormat="1" ht="13.8" x14ac:dyDescent="0.3">
      <c r="A97" s="669" t="s">
        <v>396</v>
      </c>
      <c r="B97" s="669"/>
      <c r="C97" s="669"/>
      <c r="D97" s="669"/>
      <c r="E97" s="669"/>
      <c r="F97" s="669"/>
      <c r="G97" s="669"/>
      <c r="H97" s="669"/>
    </row>
    <row r="98" spans="1:8" s="3" customFormat="1" ht="13.8" x14ac:dyDescent="0.3">
      <c r="A98" s="43" t="s">
        <v>332</v>
      </c>
      <c r="B98" s="44">
        <f>E98-1.5</f>
        <v>3</v>
      </c>
      <c r="C98" s="44">
        <f>E98-1</f>
        <v>3.5</v>
      </c>
      <c r="D98" s="44">
        <f>E98-0.5</f>
        <v>4</v>
      </c>
      <c r="E98" s="45">
        <f>B76</f>
        <v>4.5</v>
      </c>
      <c r="F98" s="44">
        <f>E98+0.5</f>
        <v>5</v>
      </c>
      <c r="G98" s="44">
        <f>E98+0.8</f>
        <v>5.3</v>
      </c>
      <c r="H98" s="46">
        <f>E98+1.2</f>
        <v>5.7</v>
      </c>
    </row>
    <row r="99" spans="1:8" s="3" customFormat="1" x14ac:dyDescent="0.3">
      <c r="A99" s="47">
        <f>A100-10</f>
        <v>133.2037479110156</v>
      </c>
      <c r="B99" s="420">
        <f>(B98*A99)-C87</f>
        <v>-255.03875626695321</v>
      </c>
      <c r="C99" s="420">
        <f>(C98*A99)-C87</f>
        <v>-188.4368823114454</v>
      </c>
      <c r="D99" s="420">
        <f>(D98*A99)-C87</f>
        <v>-121.83500835593759</v>
      </c>
      <c r="E99" s="420">
        <f>(E98*A99)-C87</f>
        <v>-55.233134400429776</v>
      </c>
      <c r="F99" s="420">
        <f>(F98*A99)-C87</f>
        <v>11.368739555078037</v>
      </c>
      <c r="G99" s="420">
        <f>(G98*A99)-C87</f>
        <v>51.329863928382679</v>
      </c>
      <c r="H99" s="420">
        <f>(H98*A99)-C87</f>
        <v>104.61136309278891</v>
      </c>
    </row>
    <row r="100" spans="1:8" s="3" customFormat="1" x14ac:dyDescent="0.3">
      <c r="A100" s="47">
        <f>A101-10</f>
        <v>143.2037479110156</v>
      </c>
      <c r="B100" s="420">
        <f>(B98*A100)-C87</f>
        <v>-225.03875626695321</v>
      </c>
      <c r="C100" s="420">
        <f>(C98*A100)-C87</f>
        <v>-153.4368823114454</v>
      </c>
      <c r="D100" s="420">
        <f>(D98*A100)-C87</f>
        <v>-81.835008355937589</v>
      </c>
      <c r="E100" s="420">
        <f>(E98*A100)-C87</f>
        <v>-10.233134400429776</v>
      </c>
      <c r="F100" s="420">
        <f>(F98*A100)-C87</f>
        <v>61.368739555078037</v>
      </c>
      <c r="G100" s="420">
        <f>(G98*A100)-C87</f>
        <v>104.32986392838268</v>
      </c>
      <c r="H100" s="420">
        <f>(H98*A100)-C87</f>
        <v>161.61136309278891</v>
      </c>
    </row>
    <row r="101" spans="1:8" s="3" customFormat="1" x14ac:dyDescent="0.3">
      <c r="A101" s="47">
        <f>A102-10</f>
        <v>153.2037479110156</v>
      </c>
      <c r="B101" s="420">
        <f>(A101*B98)-C87</f>
        <v>-195.03875626695321</v>
      </c>
      <c r="C101" s="420">
        <f>(C98*A101)-C87</f>
        <v>-118.4368823114454</v>
      </c>
      <c r="D101" s="420">
        <f>(D98*A101)-C87</f>
        <v>-41.835008355937589</v>
      </c>
      <c r="E101" s="420">
        <f>(E98*A101)-C87</f>
        <v>34.766865599570224</v>
      </c>
      <c r="F101" s="420">
        <f>(F98*A101)-C87</f>
        <v>111.36873955507804</v>
      </c>
      <c r="G101" s="420">
        <f>(G98*A101)-C87</f>
        <v>157.32986392838268</v>
      </c>
      <c r="H101" s="420">
        <f>(H98*A101)-C87</f>
        <v>218.61136309278891</v>
      </c>
    </row>
    <row r="102" spans="1:8" s="3" customFormat="1" x14ac:dyDescent="0.3">
      <c r="A102" s="51">
        <f>B77</f>
        <v>163.2037479110156</v>
      </c>
      <c r="B102" s="420">
        <f>(A102*B98)-C87</f>
        <v>-165.03875626695321</v>
      </c>
      <c r="C102" s="420">
        <f>(A102*C98)-C87</f>
        <v>-83.436882311445402</v>
      </c>
      <c r="D102" s="420">
        <f>(D98*A102)-C87</f>
        <v>-1.8350083559375889</v>
      </c>
      <c r="E102" s="420">
        <f>(A102*E98)-C87</f>
        <v>79.766865599570224</v>
      </c>
      <c r="F102" s="420">
        <f>(A102*F98)-C87</f>
        <v>161.36873955507804</v>
      </c>
      <c r="G102" s="420">
        <f>(G98*A102)-C87</f>
        <v>210.32986392838268</v>
      </c>
      <c r="H102" s="420">
        <f>(H98*A102)-C87</f>
        <v>275.61136309278891</v>
      </c>
    </row>
    <row r="103" spans="1:8" s="3" customFormat="1" x14ac:dyDescent="0.3">
      <c r="A103" s="47">
        <f>A102+10</f>
        <v>173.2037479110156</v>
      </c>
      <c r="B103" s="420">
        <f>(A103*B98)-C87</f>
        <v>-135.03875626695321</v>
      </c>
      <c r="C103" s="420">
        <f>(C98*A103)-C87</f>
        <v>-48.436882311445402</v>
      </c>
      <c r="D103" s="420">
        <f>(D98*A103)-C87</f>
        <v>38.164991644062411</v>
      </c>
      <c r="E103" s="420">
        <f>(E98*A103)-C87</f>
        <v>124.76686559957022</v>
      </c>
      <c r="F103" s="420">
        <f>(F98*A103)-C87</f>
        <v>211.36873955507804</v>
      </c>
      <c r="G103" s="420">
        <f>(G98*A103)-C87</f>
        <v>263.32986392838268</v>
      </c>
      <c r="H103" s="420">
        <f>(H98*A103)-C87</f>
        <v>332.61136309278891</v>
      </c>
    </row>
    <row r="104" spans="1:8" s="3" customFormat="1" x14ac:dyDescent="0.3">
      <c r="A104" s="47">
        <f>A103+10</f>
        <v>183.2037479110156</v>
      </c>
      <c r="B104" s="420">
        <f>(A104*B98)-C87</f>
        <v>-105.03875626695321</v>
      </c>
      <c r="C104" s="420">
        <f>(C98*A104)-C87</f>
        <v>-13.436882311445402</v>
      </c>
      <c r="D104" s="420">
        <f>(D98*A104)-C87</f>
        <v>78.164991644062411</v>
      </c>
      <c r="E104" s="420">
        <f>(E98*A104)-C87</f>
        <v>169.76686559957022</v>
      </c>
      <c r="F104" s="420">
        <f>(F98*A104)-C87</f>
        <v>261.36873955507804</v>
      </c>
      <c r="G104" s="420">
        <f>(G98*A104)-C87</f>
        <v>316.32986392838268</v>
      </c>
      <c r="H104" s="420">
        <f>(H98*A104)-C87</f>
        <v>389.61136309278902</v>
      </c>
    </row>
    <row r="105" spans="1:8" s="3" customFormat="1" x14ac:dyDescent="0.3">
      <c r="A105" s="59">
        <f>A104+10</f>
        <v>193.2037479110156</v>
      </c>
      <c r="B105" s="420">
        <f>(B98*A105)-C87</f>
        <v>-75.038756266953214</v>
      </c>
      <c r="C105" s="420">
        <f>(C98*A105)-C87</f>
        <v>21.563117688554598</v>
      </c>
      <c r="D105" s="420">
        <f>(D98*A105)-C87</f>
        <v>118.16499164406241</v>
      </c>
      <c r="E105" s="420">
        <f>(E98*A105)-C87</f>
        <v>214.76686559957022</v>
      </c>
      <c r="F105" s="420">
        <f>(F98*A105)-C87</f>
        <v>311.36873955507804</v>
      </c>
      <c r="G105" s="420">
        <f>(G98*A105)-C87</f>
        <v>369.32986392838268</v>
      </c>
      <c r="H105" s="420">
        <f>(A105*H98)-C87</f>
        <v>446.61136309278902</v>
      </c>
    </row>
  </sheetData>
  <mergeCells count="15">
    <mergeCell ref="C28:D28"/>
    <mergeCell ref="C69:D69"/>
    <mergeCell ref="C21:D21"/>
    <mergeCell ref="A1:H1"/>
    <mergeCell ref="C46:D46"/>
    <mergeCell ref="C49:D49"/>
    <mergeCell ref="C25:D25"/>
    <mergeCell ref="C31:D31"/>
    <mergeCell ref="C35:D35"/>
    <mergeCell ref="A87:B87"/>
    <mergeCell ref="A88:H88"/>
    <mergeCell ref="A97:H97"/>
    <mergeCell ref="C60:D60"/>
    <mergeCell ref="C64:D64"/>
    <mergeCell ref="C67:D67"/>
  </mergeCells>
  <pageMargins left="0.78749999999999998" right="0.78749999999999998" top="1.0527777777777778" bottom="1.0527777777777778" header="0.78749999999999998" footer="0.78749999999999998"/>
  <pageSetup paperSize="9" scale="55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8"/>
  <sheetViews>
    <sheetView showGridLines="0" zoomScale="95" zoomScaleNormal="95" workbookViewId="0">
      <selection activeCell="C58" sqref="C58:D58"/>
    </sheetView>
  </sheetViews>
  <sheetFormatPr baseColWidth="10" defaultColWidth="10.6640625" defaultRowHeight="14.4" x14ac:dyDescent="0.3"/>
  <cols>
    <col min="1" max="1" width="36.33203125" style="1" customWidth="1"/>
    <col min="2" max="2" width="10.5546875" style="1" bestFit="1" customWidth="1"/>
    <col min="3" max="3" width="11.109375" style="1" bestFit="1" customWidth="1"/>
    <col min="4" max="4" width="11.44140625" style="2" bestFit="1" customWidth="1"/>
    <col min="5" max="5" width="11.44140625" style="1" bestFit="1" customWidth="1"/>
    <col min="6" max="6" width="8.5546875" style="1" customWidth="1"/>
    <col min="7" max="7" width="13" style="1" customWidth="1"/>
    <col min="8" max="8" width="9.6640625" style="1" customWidth="1"/>
    <col min="9" max="16384" width="10.6640625" style="1"/>
  </cols>
  <sheetData>
    <row r="1" spans="1:10" s="3" customFormat="1" ht="21.6" thickBot="1" x14ac:dyDescent="0.45">
      <c r="A1" s="664" t="s">
        <v>397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v>0</v>
      </c>
      <c r="D3" s="17"/>
      <c r="H3" s="94"/>
    </row>
    <row r="4" spans="1:10" s="3" customFormat="1" ht="13.8" x14ac:dyDescent="0.3">
      <c r="D4" s="6"/>
    </row>
    <row r="5" spans="1:10" s="3" customFormat="1" ht="13.8" x14ac:dyDescent="0.3">
      <c r="A5" s="7"/>
      <c r="B5" s="8" t="s">
        <v>238</v>
      </c>
      <c r="C5" s="7" t="s">
        <v>239</v>
      </c>
      <c r="D5" s="4" t="s">
        <v>240</v>
      </c>
      <c r="E5" s="9" t="s">
        <v>183</v>
      </c>
      <c r="G5" s="9" t="s">
        <v>199</v>
      </c>
    </row>
    <row r="6" spans="1:10" s="3" customFormat="1" ht="13.8" x14ac:dyDescent="0.3">
      <c r="A6" s="7"/>
      <c r="B6" s="8"/>
      <c r="C6" s="7"/>
      <c r="D6" s="4" t="s">
        <v>245</v>
      </c>
      <c r="E6" s="9"/>
      <c r="J6" s="3" t="s">
        <v>244</v>
      </c>
    </row>
    <row r="7" spans="1:10" s="3" customFormat="1" ht="13.8" x14ac:dyDescent="0.3">
      <c r="A7" s="10" t="s">
        <v>204</v>
      </c>
      <c r="B7" s="11"/>
      <c r="C7" s="12"/>
      <c r="D7" s="13"/>
      <c r="E7" s="14">
        <v>450</v>
      </c>
      <c r="F7" s="15"/>
    </row>
    <row r="8" spans="1:10" s="3" customFormat="1" ht="13.8" x14ac:dyDescent="0.3">
      <c r="A8" s="16" t="s">
        <v>252</v>
      </c>
      <c r="B8" s="169">
        <v>1</v>
      </c>
      <c r="C8" s="18" t="s">
        <v>247</v>
      </c>
      <c r="D8" s="19">
        <v>52</v>
      </c>
      <c r="E8" s="19">
        <f t="shared" ref="E8:E13" si="0">B8*D8</f>
        <v>52</v>
      </c>
      <c r="G8" s="93">
        <v>40970</v>
      </c>
      <c r="J8" s="3" t="s">
        <v>268</v>
      </c>
    </row>
    <row r="9" spans="1:10" s="3" customFormat="1" ht="13.8" x14ac:dyDescent="0.3">
      <c r="A9" s="16" t="s">
        <v>398</v>
      </c>
      <c r="B9" s="169">
        <v>2</v>
      </c>
      <c r="C9" s="18" t="s">
        <v>247</v>
      </c>
      <c r="D9" s="19">
        <v>6</v>
      </c>
      <c r="E9" s="19">
        <f t="shared" si="0"/>
        <v>12</v>
      </c>
      <c r="G9" s="93">
        <v>41030</v>
      </c>
      <c r="J9" s="3" t="s">
        <v>383</v>
      </c>
    </row>
    <row r="10" spans="1:10" s="3" customFormat="1" ht="13.8" x14ac:dyDescent="0.3">
      <c r="A10" s="16" t="s">
        <v>364</v>
      </c>
      <c r="B10" s="169">
        <v>1</v>
      </c>
      <c r="C10" s="18" t="s">
        <v>247</v>
      </c>
      <c r="D10" s="19">
        <f>+Cotizaciones!F16</f>
        <v>13</v>
      </c>
      <c r="E10" s="19">
        <f t="shared" si="0"/>
        <v>13</v>
      </c>
      <c r="G10" s="93">
        <v>41061</v>
      </c>
      <c r="H10" s="93">
        <v>41123</v>
      </c>
      <c r="J10" s="3" t="s">
        <v>347</v>
      </c>
    </row>
    <row r="11" spans="1:10" s="3" customFormat="1" ht="13.8" x14ac:dyDescent="0.3">
      <c r="A11" s="16" t="s">
        <v>262</v>
      </c>
      <c r="B11" s="169">
        <v>0</v>
      </c>
      <c r="C11" s="18" t="s">
        <v>247</v>
      </c>
      <c r="D11" s="19">
        <f>+Cotizaciones!F15</f>
        <v>1</v>
      </c>
      <c r="E11" s="19">
        <f t="shared" si="0"/>
        <v>0</v>
      </c>
      <c r="G11" s="93">
        <v>40969</v>
      </c>
    </row>
    <row r="12" spans="1:10" s="3" customFormat="1" ht="13.8" x14ac:dyDescent="0.3">
      <c r="A12" s="16" t="s">
        <v>497</v>
      </c>
      <c r="B12" s="169">
        <v>1</v>
      </c>
      <c r="C12" s="18" t="s">
        <v>247</v>
      </c>
      <c r="D12" s="19">
        <v>27</v>
      </c>
      <c r="E12" s="19">
        <f t="shared" si="0"/>
        <v>27</v>
      </c>
      <c r="G12" s="93">
        <v>40969</v>
      </c>
    </row>
    <row r="13" spans="1:10" s="3" customFormat="1" ht="13.8" x14ac:dyDescent="0.3">
      <c r="A13" s="16" t="s">
        <v>264</v>
      </c>
      <c r="B13" s="169">
        <v>0</v>
      </c>
      <c r="C13" s="18" t="s">
        <v>247</v>
      </c>
      <c r="D13" s="19">
        <v>0</v>
      </c>
      <c r="E13" s="19">
        <f t="shared" si="0"/>
        <v>0</v>
      </c>
    </row>
    <row r="14" spans="1:10" s="3" customFormat="1" ht="13.8" x14ac:dyDescent="0.3">
      <c r="A14" s="16" t="s">
        <v>399</v>
      </c>
      <c r="B14" s="169">
        <v>0</v>
      </c>
      <c r="C14" s="18" t="s">
        <v>247</v>
      </c>
      <c r="D14" s="19">
        <f>+Cotizaciones!F14</f>
        <v>5</v>
      </c>
      <c r="E14" s="19">
        <f>+B14*D14</f>
        <v>0</v>
      </c>
    </row>
    <row r="15" spans="1:10" s="3" customFormat="1" ht="13.8" x14ac:dyDescent="0.3">
      <c r="A15" s="16" t="s">
        <v>400</v>
      </c>
      <c r="B15" s="169">
        <v>0</v>
      </c>
      <c r="C15" s="18"/>
      <c r="D15" s="19">
        <f>+Cotizaciones!F6</f>
        <v>5</v>
      </c>
      <c r="E15" s="19">
        <f>+D15*B15</f>
        <v>0</v>
      </c>
    </row>
    <row r="16" spans="1:10" s="3" customFormat="1" ht="15" customHeight="1" x14ac:dyDescent="0.3">
      <c r="B16" s="7"/>
      <c r="C16" s="767" t="s">
        <v>265</v>
      </c>
      <c r="D16" s="767"/>
      <c r="E16" s="21">
        <f>SUM(E8:E15)</f>
        <v>104</v>
      </c>
      <c r="F16" s="22">
        <f>E16/E60</f>
        <v>0.20499342969776607</v>
      </c>
      <c r="G16" s="21" t="e">
        <f>E16*#REF!</f>
        <v>#REF!</v>
      </c>
    </row>
    <row r="17" spans="1:10" s="3" customFormat="1" ht="13.8" x14ac:dyDescent="0.3">
      <c r="A17" s="10" t="s">
        <v>205</v>
      </c>
      <c r="B17" s="11"/>
      <c r="C17" s="12"/>
      <c r="D17" s="24"/>
      <c r="E17" s="25"/>
      <c r="F17" s="15"/>
    </row>
    <row r="18" spans="1:10" s="3" customFormat="1" ht="13.8" x14ac:dyDescent="0.3">
      <c r="A18" s="26"/>
      <c r="B18" s="87"/>
      <c r="C18" s="18"/>
      <c r="D18" s="28"/>
      <c r="E18" s="29"/>
    </row>
    <row r="19" spans="1:10" s="3" customFormat="1" ht="13.8" x14ac:dyDescent="0.3">
      <c r="A19" s="30" t="s">
        <v>401</v>
      </c>
      <c r="B19" s="169">
        <v>0.27777777777777779</v>
      </c>
      <c r="C19" s="18" t="s">
        <v>350</v>
      </c>
      <c r="D19" s="31">
        <f>+Cotizaciones!E42</f>
        <v>300</v>
      </c>
      <c r="E19" s="29">
        <f>B19*D19</f>
        <v>83.333333333333343</v>
      </c>
      <c r="G19" s="98" t="str">
        <f>+A8</f>
        <v xml:space="preserve">Siembra </v>
      </c>
      <c r="J19" s="3" t="s">
        <v>383</v>
      </c>
    </row>
    <row r="20" spans="1:10" s="3" customFormat="1" ht="13.8" x14ac:dyDescent="0.3">
      <c r="A20" s="30"/>
      <c r="B20" s="18"/>
      <c r="C20" s="767" t="s">
        <v>270</v>
      </c>
      <c r="D20" s="767"/>
      <c r="E20" s="21">
        <f>SUM(E19:E19)</f>
        <v>83.333333333333343</v>
      </c>
      <c r="F20" s="22">
        <f>E20/E60</f>
        <v>0.16425755584756899</v>
      </c>
      <c r="G20" s="21" t="e">
        <f>E20*#REF!</f>
        <v>#REF!</v>
      </c>
    </row>
    <row r="21" spans="1:10" s="3" customFormat="1" ht="13.8" x14ac:dyDescent="0.3">
      <c r="A21" s="30"/>
      <c r="B21" s="87"/>
      <c r="C21" s="18"/>
      <c r="D21" s="28"/>
      <c r="E21" s="29"/>
    </row>
    <row r="22" spans="1:10" s="3" customFormat="1" ht="13.8" x14ac:dyDescent="0.3">
      <c r="A22" s="10" t="s">
        <v>206</v>
      </c>
      <c r="B22" s="11">
        <v>0.2</v>
      </c>
      <c r="C22" s="12" t="s">
        <v>247</v>
      </c>
      <c r="D22" s="63">
        <f>+'Resumen Proy'!C57</f>
        <v>426</v>
      </c>
      <c r="E22" s="64">
        <f>B22*D22</f>
        <v>85.2</v>
      </c>
      <c r="F22" s="15"/>
    </row>
    <row r="23" spans="1:10" s="3" customFormat="1" ht="13.8" x14ac:dyDescent="0.3">
      <c r="A23" s="30"/>
      <c r="B23" s="87"/>
      <c r="C23" s="767" t="s">
        <v>271</v>
      </c>
      <c r="D23" s="767"/>
      <c r="E23" s="32">
        <f>E22</f>
        <v>85.2</v>
      </c>
      <c r="F23" s="22">
        <f>E23/E60</f>
        <v>0.16793692509855454</v>
      </c>
      <c r="G23" s="21" t="e">
        <f>E23*#REF!</f>
        <v>#REF!</v>
      </c>
    </row>
    <row r="24" spans="1:10" s="3" customFormat="1" ht="13.8" x14ac:dyDescent="0.3">
      <c r="A24" s="30"/>
      <c r="B24" s="87"/>
      <c r="C24" s="18"/>
      <c r="D24" s="28"/>
      <c r="E24" s="29"/>
    </row>
    <row r="25" spans="1:10" s="3" customFormat="1" ht="13.8" x14ac:dyDescent="0.3">
      <c r="A25" s="10" t="s">
        <v>207</v>
      </c>
      <c r="B25" s="281">
        <v>1</v>
      </c>
      <c r="C25" s="12" t="s">
        <v>272</v>
      </c>
      <c r="D25" s="173">
        <v>10</v>
      </c>
      <c r="E25" s="174">
        <f>D25</f>
        <v>10</v>
      </c>
      <c r="F25" s="15"/>
    </row>
    <row r="26" spans="1:10" s="3" customFormat="1" ht="13.8" x14ac:dyDescent="0.3">
      <c r="A26" s="30"/>
      <c r="B26" s="87"/>
      <c r="C26" s="767" t="s">
        <v>273</v>
      </c>
      <c r="D26" s="767"/>
      <c r="E26" s="21">
        <f>E25</f>
        <v>10</v>
      </c>
      <c r="F26" s="22">
        <f>E26/E60</f>
        <v>1.9710906701708279E-2</v>
      </c>
      <c r="G26" s="21" t="e">
        <f>E26*#REF!</f>
        <v>#REF!</v>
      </c>
    </row>
    <row r="27" spans="1:10" s="3" customFormat="1" ht="13.8" x14ac:dyDescent="0.3">
      <c r="A27" s="30"/>
      <c r="B27" s="87"/>
      <c r="C27" s="7"/>
      <c r="D27" s="7"/>
      <c r="E27" s="33"/>
    </row>
    <row r="28" spans="1:10" s="3" customFormat="1" ht="13.8" x14ac:dyDescent="0.3">
      <c r="A28" s="10" t="s">
        <v>140</v>
      </c>
      <c r="B28" s="11"/>
      <c r="C28" s="12"/>
      <c r="D28" s="24"/>
      <c r="E28" s="25"/>
      <c r="F28" s="15"/>
    </row>
    <row r="29" spans="1:10" s="3" customFormat="1" ht="13.8" x14ac:dyDescent="0.3">
      <c r="A29" s="30" t="s">
        <v>402</v>
      </c>
      <c r="B29" s="170">
        <v>0.04</v>
      </c>
      <c r="C29" s="18" t="s">
        <v>275</v>
      </c>
      <c r="D29" s="19">
        <f>Cotizaciones!I25+Cotizaciones!F26</f>
        <v>1025</v>
      </c>
      <c r="E29" s="34">
        <f>B29*D29</f>
        <v>41</v>
      </c>
      <c r="G29" s="3" t="str">
        <f>+A8</f>
        <v xml:space="preserve">Siembra </v>
      </c>
      <c r="J29" s="3" t="s">
        <v>383</v>
      </c>
    </row>
    <row r="30" spans="1:10" s="3" customFormat="1" ht="13.8" x14ac:dyDescent="0.3">
      <c r="A30" s="30" t="s">
        <v>403</v>
      </c>
      <c r="B30" s="170">
        <v>0.06</v>
      </c>
      <c r="C30" s="18" t="s">
        <v>275</v>
      </c>
      <c r="D30" s="19">
        <f>Cotizaciones!F26+Cotizaciones!I34</f>
        <v>645</v>
      </c>
      <c r="E30" s="34">
        <f>B30*D30</f>
        <v>38.699999999999996</v>
      </c>
      <c r="G30" s="3" t="e">
        <f>+#REF!</f>
        <v>#REF!</v>
      </c>
    </row>
    <row r="31" spans="1:10" s="3" customFormat="1" ht="13.8" x14ac:dyDescent="0.3">
      <c r="A31" s="30"/>
      <c r="B31" s="18"/>
      <c r="C31" s="767" t="s">
        <v>280</v>
      </c>
      <c r="D31" s="767"/>
      <c r="E31" s="32">
        <f>SUM(E29:E30)</f>
        <v>79.699999999999989</v>
      </c>
      <c r="F31" s="22">
        <f>E31/E60</f>
        <v>0.15709592641261494</v>
      </c>
      <c r="G31" s="21" t="e">
        <f>E31*#REF!</f>
        <v>#REF!</v>
      </c>
    </row>
    <row r="32" spans="1:10" s="3" customFormat="1" ht="13.8" x14ac:dyDescent="0.3">
      <c r="A32" s="10" t="s">
        <v>118</v>
      </c>
      <c r="B32" s="12"/>
      <c r="C32" s="67"/>
      <c r="D32" s="67"/>
      <c r="E32" s="68"/>
      <c r="F32" s="15"/>
    </row>
    <row r="33" spans="1:10" s="3" customFormat="1" ht="13.8" x14ac:dyDescent="0.3">
      <c r="A33" s="30" t="s">
        <v>495</v>
      </c>
      <c r="B33" s="171">
        <f>+'Girasol SP'!B46</f>
        <v>0.08</v>
      </c>
      <c r="C33" s="18" t="s">
        <v>283</v>
      </c>
      <c r="D33" s="19">
        <f>+'Girasol SP'!D46</f>
        <v>170</v>
      </c>
      <c r="E33" s="19">
        <f t="shared" ref="E33:E38" si="1">B33*D33</f>
        <v>13.6</v>
      </c>
      <c r="G33" s="3" t="e">
        <f>+#REF!</f>
        <v>#REF!</v>
      </c>
      <c r="J33" s="3" t="s">
        <v>347</v>
      </c>
    </row>
    <row r="34" spans="1:10" s="3" customFormat="1" ht="13.8" x14ac:dyDescent="0.3">
      <c r="A34" s="30" t="s">
        <v>68</v>
      </c>
      <c r="B34" s="171">
        <v>1</v>
      </c>
      <c r="C34" s="18" t="s">
        <v>283</v>
      </c>
      <c r="D34" s="19">
        <f>+Cotizaciones!I28</f>
        <v>4.5</v>
      </c>
      <c r="E34" s="19">
        <f t="shared" si="1"/>
        <v>4.5</v>
      </c>
      <c r="G34" s="3" t="str">
        <f>+A9</f>
        <v>Pulverizacion Pre-emergente</v>
      </c>
      <c r="J34" s="3" t="s">
        <v>347</v>
      </c>
    </row>
    <row r="35" spans="1:10" s="3" customFormat="1" ht="13.8" x14ac:dyDescent="0.3">
      <c r="A35" s="30" t="s">
        <v>286</v>
      </c>
      <c r="B35" s="171">
        <v>1</v>
      </c>
      <c r="C35" s="18" t="s">
        <v>283</v>
      </c>
      <c r="D35" s="19">
        <f>+Cotizaciones!I24</f>
        <v>11.8</v>
      </c>
      <c r="E35" s="19">
        <f t="shared" si="1"/>
        <v>11.8</v>
      </c>
      <c r="G35" s="3" t="str">
        <f>+A9</f>
        <v>Pulverizacion Pre-emergente</v>
      </c>
      <c r="J35" s="3" t="s">
        <v>347</v>
      </c>
    </row>
    <row r="36" spans="1:10" s="3" customFormat="1" ht="13.8" x14ac:dyDescent="0.3">
      <c r="A36" s="30" t="s">
        <v>282</v>
      </c>
      <c r="B36" s="171">
        <v>2</v>
      </c>
      <c r="C36" s="18" t="s">
        <v>283</v>
      </c>
      <c r="D36" s="19">
        <f>+Cotizaciones!I45</f>
        <v>2.6</v>
      </c>
      <c r="E36" s="19">
        <f t="shared" si="1"/>
        <v>5.2</v>
      </c>
      <c r="G36" s="3" t="e">
        <f>+#REF!</f>
        <v>#REF!</v>
      </c>
      <c r="J36" s="3" t="s">
        <v>347</v>
      </c>
    </row>
    <row r="37" spans="1:10" s="3" customFormat="1" ht="13.8" x14ac:dyDescent="0.3">
      <c r="A37" s="30" t="s">
        <v>284</v>
      </c>
      <c r="B37" s="171">
        <v>1</v>
      </c>
      <c r="C37" s="18" t="s">
        <v>283</v>
      </c>
      <c r="D37" s="19">
        <f>+Cotizaciones!I8</f>
        <v>20</v>
      </c>
      <c r="E37" s="19">
        <f t="shared" si="1"/>
        <v>20</v>
      </c>
    </row>
    <row r="38" spans="1:10" s="3" customFormat="1" ht="13.8" x14ac:dyDescent="0.3">
      <c r="A38" s="30" t="s">
        <v>73</v>
      </c>
      <c r="B38" s="171">
        <v>0.12</v>
      </c>
      <c r="C38" s="18" t="s">
        <v>283</v>
      </c>
      <c r="D38" s="19">
        <f>+Cotizaciones!I30</f>
        <v>100</v>
      </c>
      <c r="E38" s="19">
        <f t="shared" si="1"/>
        <v>12</v>
      </c>
      <c r="G38" s="3" t="e">
        <f>+#REF!</f>
        <v>#REF!</v>
      </c>
      <c r="J38" s="3" t="s">
        <v>347</v>
      </c>
    </row>
    <row r="39" spans="1:10" s="3" customFormat="1" ht="13.8" x14ac:dyDescent="0.3">
      <c r="A39" s="30"/>
      <c r="B39" s="18"/>
      <c r="C39" s="767" t="s">
        <v>288</v>
      </c>
      <c r="D39" s="767"/>
      <c r="E39" s="32">
        <f>SUM(E33:E38)</f>
        <v>67.099999999999994</v>
      </c>
      <c r="F39" s="22">
        <f>E39/E60</f>
        <v>0.13226018396846254</v>
      </c>
      <c r="G39" s="21" t="e">
        <f>E39*#REF!</f>
        <v>#REF!</v>
      </c>
    </row>
    <row r="40" spans="1:10" s="3" customFormat="1" ht="13.8" x14ac:dyDescent="0.3">
      <c r="A40" s="30"/>
      <c r="B40" s="87"/>
      <c r="C40" s="18"/>
      <c r="D40" s="28"/>
      <c r="E40" s="29"/>
    </row>
    <row r="41" spans="1:10" s="3" customFormat="1" ht="13.8" x14ac:dyDescent="0.3">
      <c r="A41" s="10" t="s">
        <v>289</v>
      </c>
      <c r="B41" s="214">
        <v>1</v>
      </c>
      <c r="C41" s="12" t="s">
        <v>290</v>
      </c>
      <c r="D41" s="266">
        <v>70</v>
      </c>
      <c r="E41" s="65">
        <f>+D41*B41</f>
        <v>70</v>
      </c>
      <c r="F41" s="15"/>
      <c r="J41" s="3" t="s">
        <v>249</v>
      </c>
    </row>
    <row r="42" spans="1:10" s="3" customFormat="1" ht="13.8" x14ac:dyDescent="0.3">
      <c r="A42" s="35"/>
      <c r="B42" s="180"/>
      <c r="C42" s="767" t="s">
        <v>291</v>
      </c>
      <c r="D42" s="767"/>
      <c r="E42" s="32">
        <f>E41</f>
        <v>70</v>
      </c>
      <c r="F42" s="22">
        <f>E42/E60</f>
        <v>0.13797634691195795</v>
      </c>
    </row>
    <row r="43" spans="1:10" s="3" customFormat="1" ht="13.8" x14ac:dyDescent="0.3">
      <c r="A43" s="10" t="s">
        <v>300</v>
      </c>
      <c r="B43" s="214"/>
      <c r="C43" s="12"/>
      <c r="D43" s="24"/>
      <c r="E43" s="25"/>
      <c r="F43" s="15"/>
    </row>
    <row r="44" spans="1:10" s="3" customFormat="1" ht="13.8" x14ac:dyDescent="0.3">
      <c r="A44" s="213" t="s">
        <v>301</v>
      </c>
      <c r="B44" s="181">
        <v>0</v>
      </c>
      <c r="C44" s="18" t="s">
        <v>302</v>
      </c>
      <c r="D44" s="145">
        <f>Cotizaciones!F24</f>
        <v>3.3</v>
      </c>
      <c r="E44" s="146">
        <f>D44*B44*B68</f>
        <v>0</v>
      </c>
      <c r="J44" s="3" t="s">
        <v>249</v>
      </c>
    </row>
    <row r="45" spans="1:10" s="3" customFormat="1" ht="13.8" x14ac:dyDescent="0.3">
      <c r="A45" s="213" t="s">
        <v>303</v>
      </c>
      <c r="B45" s="181">
        <v>0</v>
      </c>
      <c r="C45" s="18" t="s">
        <v>355</v>
      </c>
      <c r="D45" s="145">
        <f>Cotizaciones!I45/210</f>
        <v>1.2380952380952381E-2</v>
      </c>
      <c r="E45" s="146">
        <f>D45*B45*B68</f>
        <v>0</v>
      </c>
      <c r="J45" s="3" t="s">
        <v>249</v>
      </c>
    </row>
    <row r="46" spans="1:10" s="3" customFormat="1" ht="13.8" x14ac:dyDescent="0.3">
      <c r="A46" s="35" t="s">
        <v>305</v>
      </c>
      <c r="B46" s="181">
        <v>2</v>
      </c>
      <c r="C46" s="18" t="s">
        <v>371</v>
      </c>
      <c r="D46" s="19">
        <v>2.5</v>
      </c>
      <c r="E46" s="19">
        <f>+D46*B46*B69</f>
        <v>6.5</v>
      </c>
      <c r="J46" s="3" t="s">
        <v>249</v>
      </c>
    </row>
    <row r="47" spans="1:10" s="3" customFormat="1" ht="13.8" x14ac:dyDescent="0.3">
      <c r="A47" s="35" t="s">
        <v>306</v>
      </c>
      <c r="B47" s="181">
        <v>1</v>
      </c>
      <c r="C47" s="18" t="s">
        <v>371</v>
      </c>
      <c r="D47" s="19">
        <v>7</v>
      </c>
      <c r="E47" s="19">
        <f>+D47*B47*B69</f>
        <v>9.1</v>
      </c>
      <c r="J47" s="3" t="s">
        <v>249</v>
      </c>
    </row>
    <row r="48" spans="1:10" s="3" customFormat="1" ht="13.8" x14ac:dyDescent="0.3">
      <c r="A48" s="35" t="s">
        <v>83</v>
      </c>
      <c r="B48" s="181">
        <v>1</v>
      </c>
      <c r="C48" s="18" t="s">
        <v>371</v>
      </c>
      <c r="D48" s="19">
        <f>+Cotizaciones!F36/Cotizaciones!M19</f>
        <v>0.26888687100780601</v>
      </c>
      <c r="E48" s="19">
        <f>+D48*B48*B69</f>
        <v>0.34955293231014783</v>
      </c>
      <c r="J48" s="3" t="s">
        <v>249</v>
      </c>
    </row>
    <row r="49" spans="1:10" s="3" customFormat="1" ht="13.8" x14ac:dyDescent="0.3">
      <c r="A49" s="35" t="s">
        <v>307</v>
      </c>
      <c r="B49" s="181">
        <v>1</v>
      </c>
      <c r="C49" s="18" t="s">
        <v>371</v>
      </c>
      <c r="D49" s="19">
        <f>+Cotizaciones!E5/Cotizaciones!M20</f>
        <v>0.53083472598960413</v>
      </c>
      <c r="E49" s="19">
        <f>+D49*B49*$B$69</f>
        <v>0.69008514378648544</v>
      </c>
      <c r="J49" s="3" t="s">
        <v>249</v>
      </c>
    </row>
    <row r="50" spans="1:10" s="3" customFormat="1" ht="13.8" x14ac:dyDescent="0.3">
      <c r="A50" s="35" t="s">
        <v>308</v>
      </c>
      <c r="B50" s="181">
        <v>1</v>
      </c>
      <c r="C50" s="18" t="s">
        <v>371</v>
      </c>
      <c r="D50" s="19">
        <f>Cotizaciones!F25</f>
        <v>20</v>
      </c>
      <c r="E50" s="19">
        <f>B50*D50*B69</f>
        <v>26</v>
      </c>
      <c r="J50" s="3" t="s">
        <v>249</v>
      </c>
    </row>
    <row r="51" spans="1:10" s="3" customFormat="1" ht="13.8" x14ac:dyDescent="0.3">
      <c r="A51" s="35" t="s">
        <v>309</v>
      </c>
      <c r="B51" s="181">
        <v>1.5</v>
      </c>
      <c r="C51" s="18" t="s">
        <v>295</v>
      </c>
      <c r="D51" s="19">
        <f>B51%*B69*Cotizaciones!B12</f>
        <v>8.7750000000000004</v>
      </c>
      <c r="E51" s="19">
        <f>D51</f>
        <v>8.7750000000000004</v>
      </c>
      <c r="J51" s="3" t="s">
        <v>249</v>
      </c>
    </row>
    <row r="52" spans="1:10" s="3" customFormat="1" ht="13.8" x14ac:dyDescent="0.3">
      <c r="A52" s="35"/>
      <c r="B52" s="215"/>
      <c r="C52" s="767" t="s">
        <v>310</v>
      </c>
      <c r="D52" s="767"/>
      <c r="E52" s="32">
        <f>SUM(E44:E51)</f>
        <v>51.41463807609663</v>
      </c>
      <c r="F52" s="22">
        <f>E52/E60</f>
        <v>0.10134291342200386</v>
      </c>
    </row>
    <row r="53" spans="1:10" s="3" customFormat="1" ht="13.8" x14ac:dyDescent="0.3">
      <c r="A53" s="35"/>
      <c r="B53" s="180"/>
      <c r="C53" s="18"/>
      <c r="D53" s="28"/>
      <c r="E53" s="29"/>
    </row>
    <row r="54" spans="1:10" s="3" customFormat="1" ht="13.8" x14ac:dyDescent="0.3">
      <c r="A54" s="10" t="s">
        <v>292</v>
      </c>
      <c r="B54" s="232">
        <v>2.2000000000000002</v>
      </c>
      <c r="C54" s="10"/>
      <c r="D54" s="10">
        <v>8</v>
      </c>
      <c r="E54" s="65">
        <f>+D54</f>
        <v>8</v>
      </c>
      <c r="F54" s="15"/>
      <c r="J54" s="3" t="s">
        <v>249</v>
      </c>
    </row>
    <row r="55" spans="1:10" s="3" customFormat="1" ht="13.8" x14ac:dyDescent="0.3">
      <c r="A55" s="35"/>
      <c r="B55" s="180"/>
      <c r="C55" s="767" t="s">
        <v>293</v>
      </c>
      <c r="D55" s="767"/>
      <c r="E55" s="32">
        <f>+E54</f>
        <v>8</v>
      </c>
      <c r="F55" s="22">
        <f>E55/E60</f>
        <v>1.5768725361366621E-2</v>
      </c>
    </row>
    <row r="56" spans="1:10" s="3" customFormat="1" ht="13.8" x14ac:dyDescent="0.3">
      <c r="A56" s="35"/>
      <c r="B56" s="180"/>
      <c r="C56" s="7"/>
      <c r="D56" s="7"/>
      <c r="E56" s="38"/>
    </row>
    <row r="57" spans="1:10" s="3" customFormat="1" ht="13.8" x14ac:dyDescent="0.3">
      <c r="A57" s="10" t="s">
        <v>294</v>
      </c>
      <c r="B57" s="233">
        <v>1.5</v>
      </c>
      <c r="C57" s="12" t="s">
        <v>295</v>
      </c>
      <c r="D57" s="71">
        <v>6</v>
      </c>
      <c r="E57" s="64">
        <v>0</v>
      </c>
      <c r="F57" s="15"/>
    </row>
    <row r="58" spans="1:10" s="3" customFormat="1" ht="13.8" x14ac:dyDescent="0.3">
      <c r="A58" s="30"/>
      <c r="B58" s="27"/>
      <c r="C58" s="767" t="s">
        <v>296</v>
      </c>
      <c r="D58" s="767"/>
      <c r="E58" s="32">
        <f>E57</f>
        <v>0</v>
      </c>
      <c r="F58" s="22">
        <f>E58/E60</f>
        <v>0</v>
      </c>
    </row>
    <row r="59" spans="1:10" s="3" customFormat="1" ht="13.8" x14ac:dyDescent="0.3">
      <c r="A59" s="30"/>
      <c r="B59" s="27"/>
      <c r="C59" s="7"/>
      <c r="D59" s="7"/>
      <c r="E59" s="38"/>
    </row>
    <row r="60" spans="1:10" s="3" customFormat="1" ht="13.8" x14ac:dyDescent="0.3">
      <c r="A60" s="72"/>
      <c r="B60" s="73"/>
      <c r="C60" s="673" t="s">
        <v>317</v>
      </c>
      <c r="D60" s="673"/>
      <c r="E60" s="74">
        <f>E16+E20+E23+E26+E31+E39+E42+E55+E58</f>
        <v>507.33333333333337</v>
      </c>
      <c r="F60" s="75">
        <f>F58+F55+F52+F42+F39+F31+F26+F23+F20+F16</f>
        <v>1.1013429134220036</v>
      </c>
    </row>
    <row r="61" spans="1:10" s="3" customFormat="1" ht="13.8" x14ac:dyDescent="0.3">
      <c r="A61" s="30"/>
      <c r="B61" s="30"/>
      <c r="C61" s="18"/>
      <c r="D61" s="28"/>
      <c r="E61" s="18"/>
    </row>
    <row r="62" spans="1:10" s="3" customFormat="1" ht="13.8" x14ac:dyDescent="0.3">
      <c r="A62" s="213" t="s">
        <v>356</v>
      </c>
      <c r="B62" s="27"/>
      <c r="C62" s="566"/>
      <c r="D62" s="566"/>
      <c r="E62" s="227">
        <v>450</v>
      </c>
      <c r="F62" s="567"/>
    </row>
    <row r="63" spans="1:10" s="3" customFormat="1" ht="13.8" x14ac:dyDescent="0.3">
      <c r="A63" s="213" t="s">
        <v>311</v>
      </c>
      <c r="B63" s="30"/>
      <c r="C63" s="18"/>
      <c r="D63" s="28"/>
      <c r="E63" s="227">
        <f>+E52/B69</f>
        <v>39.549721596997408</v>
      </c>
      <c r="F63" s="22">
        <f>+E63/E62</f>
        <v>8.7888270215549791E-2</v>
      </c>
    </row>
    <row r="64" spans="1:10" s="3" customFormat="1" ht="13.8" x14ac:dyDescent="0.3">
      <c r="A64" s="213" t="s">
        <v>312</v>
      </c>
      <c r="D64" s="28"/>
      <c r="E64" s="227">
        <f>+E62-E63</f>
        <v>410.45027840300259</v>
      </c>
    </row>
    <row r="65" spans="1:9" s="3" customFormat="1" ht="13.8" x14ac:dyDescent="0.3">
      <c r="D65" s="28"/>
      <c r="E65" s="18"/>
    </row>
    <row r="66" spans="1:9" s="3" customFormat="1" ht="13.8" x14ac:dyDescent="0.3">
      <c r="A66" s="30"/>
      <c r="B66" s="30"/>
      <c r="C66" s="18"/>
      <c r="D66" s="28"/>
      <c r="E66" s="18"/>
    </row>
    <row r="67" spans="1:9" s="3" customFormat="1" ht="13.8" x14ac:dyDescent="0.3">
      <c r="D67" s="28"/>
      <c r="E67" s="18"/>
    </row>
    <row r="68" spans="1:9" s="3" customFormat="1" thickBot="1" x14ac:dyDescent="0.35">
      <c r="D68" s="28"/>
      <c r="E68" s="39"/>
    </row>
    <row r="69" spans="1:9" s="3" customFormat="1" ht="13.8" x14ac:dyDescent="0.3">
      <c r="A69" s="465" t="s">
        <v>315</v>
      </c>
      <c r="B69" s="438">
        <v>1.3</v>
      </c>
      <c r="C69" s="194" t="s">
        <v>316</v>
      </c>
      <c r="D69" s="466"/>
      <c r="E69" s="453"/>
      <c r="F69" s="185"/>
      <c r="G69" s="763"/>
      <c r="H69" s="763"/>
      <c r="I69" s="763"/>
    </row>
    <row r="70" spans="1:9" s="3" customFormat="1" ht="13.8" x14ac:dyDescent="0.3">
      <c r="A70" s="467" t="s">
        <v>341</v>
      </c>
      <c r="B70" s="145">
        <f>+E64</f>
        <v>410.45027840300259</v>
      </c>
      <c r="C70" s="196" t="s">
        <v>21</v>
      </c>
      <c r="D70" s="460"/>
      <c r="E70" s="454"/>
      <c r="F70" s="185"/>
      <c r="G70" s="763"/>
      <c r="H70" s="763"/>
      <c r="I70" s="763"/>
    </row>
    <row r="71" spans="1:9" s="3" customFormat="1" ht="13.8" x14ac:dyDescent="0.3">
      <c r="A71" s="467" t="s">
        <v>496</v>
      </c>
      <c r="B71" s="145">
        <f>+B70*1.1</f>
        <v>451.49530624330288</v>
      </c>
      <c r="C71" s="196"/>
      <c r="D71" s="460"/>
      <c r="E71" s="454"/>
      <c r="F71" s="185"/>
      <c r="G71" s="593"/>
      <c r="H71" s="593"/>
      <c r="I71" s="593"/>
    </row>
    <row r="72" spans="1:9" s="3" customFormat="1" ht="13.8" x14ac:dyDescent="0.3">
      <c r="A72" s="468" t="s">
        <v>317</v>
      </c>
      <c r="B72" s="145">
        <f>E60</f>
        <v>507.33333333333337</v>
      </c>
      <c r="C72" s="197" t="s">
        <v>318</v>
      </c>
      <c r="D72" s="460"/>
      <c r="E72" s="454"/>
      <c r="F72" s="239"/>
      <c r="G72" s="436"/>
      <c r="H72" s="145"/>
    </row>
    <row r="73" spans="1:9" s="3" customFormat="1" ht="13.8" x14ac:dyDescent="0.3">
      <c r="A73" s="467" t="s">
        <v>160</v>
      </c>
      <c r="B73" s="145">
        <f>+B70*B69*0.98</f>
        <v>522.91365468542529</v>
      </c>
      <c r="C73" s="196" t="s">
        <v>318</v>
      </c>
      <c r="D73" s="469"/>
      <c r="E73" s="470"/>
      <c r="G73" s="151"/>
      <c r="H73" s="145"/>
    </row>
    <row r="74" spans="1:9" s="3" customFormat="1" ht="13.8" x14ac:dyDescent="0.3">
      <c r="A74" s="468" t="s">
        <v>321</v>
      </c>
      <c r="B74" s="267">
        <f>+B73-E60</f>
        <v>15.580321352091914</v>
      </c>
      <c r="C74" s="197" t="s">
        <v>318</v>
      </c>
      <c r="D74" s="469"/>
      <c r="E74" s="469"/>
      <c r="G74" s="436"/>
      <c r="H74" s="139"/>
    </row>
    <row r="75" spans="1:9" s="3" customFormat="1" ht="13.8" x14ac:dyDescent="0.3">
      <c r="A75" s="468" t="s">
        <v>325</v>
      </c>
      <c r="B75" s="268">
        <f>B74/E60</f>
        <v>3.0710226055371707E-2</v>
      </c>
      <c r="C75" s="197"/>
      <c r="D75" s="461"/>
      <c r="E75" s="461"/>
      <c r="G75" s="436"/>
      <c r="H75" s="156"/>
    </row>
    <row r="76" spans="1:9" s="3" customFormat="1" ht="13.8" x14ac:dyDescent="0.3">
      <c r="A76" s="467" t="s">
        <v>326</v>
      </c>
      <c r="B76" s="269">
        <f>+B72/B71</f>
        <v>1.123673549465297</v>
      </c>
      <c r="C76" s="197"/>
      <c r="D76" s="469"/>
      <c r="E76" s="471"/>
      <c r="G76" s="151"/>
      <c r="H76" s="184"/>
    </row>
    <row r="77" spans="1:9" s="3" customFormat="1" ht="13.8" x14ac:dyDescent="0.3">
      <c r="A77" s="468" t="s">
        <v>164</v>
      </c>
      <c r="B77" s="270">
        <f>E16+E23*0.8+E26*0.9+E31+E39+E20</f>
        <v>411.29333333333341</v>
      </c>
      <c r="C77" s="197" t="s">
        <v>318</v>
      </c>
      <c r="D77" s="469"/>
      <c r="E77" s="472"/>
      <c r="G77" s="436"/>
      <c r="H77" s="139"/>
    </row>
    <row r="78" spans="1:9" s="3" customFormat="1" thickBot="1" x14ac:dyDescent="0.35">
      <c r="A78" s="473" t="s">
        <v>327</v>
      </c>
      <c r="B78" s="439">
        <f>B74/B77</f>
        <v>3.7881288339446081E-2</v>
      </c>
      <c r="C78" s="199"/>
      <c r="D78" s="462"/>
      <c r="E78" s="462"/>
      <c r="G78" s="436"/>
      <c r="H78" s="435"/>
    </row>
    <row r="79" spans="1:9" s="3" customFormat="1" ht="13.8" x14ac:dyDescent="0.3">
      <c r="A79" s="18"/>
      <c r="B79" s="41"/>
      <c r="C79" s="41"/>
      <c r="D79" s="28"/>
      <c r="E79" s="30"/>
    </row>
    <row r="80" spans="1:9" s="3" customFormat="1" ht="13.8" x14ac:dyDescent="0.3">
      <c r="A80" s="668" t="s">
        <v>317</v>
      </c>
      <c r="B80" s="668"/>
      <c r="C80" s="42">
        <f>E60</f>
        <v>507.33333333333337</v>
      </c>
      <c r="D80" s="28"/>
      <c r="E80" s="30"/>
    </row>
    <row r="81" spans="1:8" s="3" customFormat="1" ht="13.8" x14ac:dyDescent="0.3">
      <c r="A81" s="764" t="s">
        <v>395</v>
      </c>
      <c r="B81" s="765"/>
      <c r="C81" s="765"/>
      <c r="D81" s="765"/>
      <c r="E81" s="765"/>
      <c r="F81" s="765"/>
      <c r="G81" s="765"/>
      <c r="H81" s="766"/>
    </row>
    <row r="82" spans="1:8" s="3" customFormat="1" ht="13.8" x14ac:dyDescent="0.3">
      <c r="A82" s="43" t="s">
        <v>332</v>
      </c>
      <c r="B82" s="44">
        <f>E82-1.5</f>
        <v>-0.19999999999999996</v>
      </c>
      <c r="C82" s="44">
        <f>E82-1</f>
        <v>0.30000000000000004</v>
      </c>
      <c r="D82" s="44">
        <f>E82-0.5</f>
        <v>0.8</v>
      </c>
      <c r="E82" s="45">
        <f>B69</f>
        <v>1.3</v>
      </c>
      <c r="F82" s="44">
        <f>E82+0.5</f>
        <v>1.8</v>
      </c>
      <c r="G82" s="44">
        <f>E82+0.8</f>
        <v>2.1</v>
      </c>
      <c r="H82" s="46">
        <f>E82+1.2</f>
        <v>2.5</v>
      </c>
    </row>
    <row r="83" spans="1:8" s="3" customFormat="1" ht="13.8" x14ac:dyDescent="0.3">
      <c r="A83" s="47">
        <f>A84-10</f>
        <v>380.45027840300259</v>
      </c>
      <c r="B83" s="48">
        <f>B92/C80*100</f>
        <v>-114.99803988448103</v>
      </c>
      <c r="C83" s="48">
        <f>C92/C80*100</f>
        <v>-77.502940173278418</v>
      </c>
      <c r="D83" s="48">
        <f>D92/C80*100</f>
        <v>-40.007840462075819</v>
      </c>
      <c r="E83" s="49">
        <f>E92/C80*100</f>
        <v>-2.5127407508731974</v>
      </c>
      <c r="F83" s="48">
        <f>F92/C80*100</f>
        <v>34.982358960329428</v>
      </c>
      <c r="G83" s="48">
        <f>G92/C80*100</f>
        <v>57.479418787050982</v>
      </c>
      <c r="H83" s="50">
        <f>H92/C80*100</f>
        <v>87.475498556013093</v>
      </c>
    </row>
    <row r="84" spans="1:8" s="3" customFormat="1" ht="13.8" x14ac:dyDescent="0.3">
      <c r="A84" s="47">
        <f>A85-10</f>
        <v>390.45027840300259</v>
      </c>
      <c r="B84" s="48">
        <f>B93/C80*100</f>
        <v>-115.39225801851521</v>
      </c>
      <c r="C84" s="48">
        <f>C93/C80*100</f>
        <v>-76.911612972227175</v>
      </c>
      <c r="D84" s="48">
        <f>D93/C80*100</f>
        <v>-38.430967925939143</v>
      </c>
      <c r="E84" s="49">
        <f>E93/C80*100</f>
        <v>4.9677120348889901E-2</v>
      </c>
      <c r="F84" s="48">
        <f>F93/C80*100</f>
        <v>38.530322166636921</v>
      </c>
      <c r="G84" s="48">
        <f>G93/C80*100</f>
        <v>61.618709194409746</v>
      </c>
      <c r="H84" s="50">
        <f>H93/C80*100</f>
        <v>92.40322523144016</v>
      </c>
    </row>
    <row r="85" spans="1:8" s="3" customFormat="1" ht="13.8" x14ac:dyDescent="0.3">
      <c r="A85" s="47">
        <f>A86-10</f>
        <v>400.45027840300259</v>
      </c>
      <c r="B85" s="48">
        <f>B94/C80*100</f>
        <v>-115.78647615254938</v>
      </c>
      <c r="C85" s="48">
        <f>C94/C80*100</f>
        <v>-76.320285771175918</v>
      </c>
      <c r="D85" s="48">
        <f>D94/C80*100</f>
        <v>-36.854095389802474</v>
      </c>
      <c r="E85" s="49">
        <f>E94/C80*100</f>
        <v>2.6120949915709657</v>
      </c>
      <c r="F85" s="48">
        <f>F94/C80*100</f>
        <v>42.078285372944414</v>
      </c>
      <c r="G85" s="48">
        <f>G94/C80*100</f>
        <v>65.757999601768489</v>
      </c>
      <c r="H85" s="50">
        <f>H94/C80*100</f>
        <v>97.330951906867227</v>
      </c>
    </row>
    <row r="86" spans="1:8" s="3" customFormat="1" ht="13.8" x14ac:dyDescent="0.3">
      <c r="A86" s="51">
        <f>B70</f>
        <v>410.45027840300259</v>
      </c>
      <c r="B86" s="52">
        <f>B95/C80*100</f>
        <v>-116.18069428658353</v>
      </c>
      <c r="C86" s="53">
        <f>C95/C80*100</f>
        <v>-75.728958570124675</v>
      </c>
      <c r="D86" s="53">
        <f>D95/C80*100</f>
        <v>-35.277222853665819</v>
      </c>
      <c r="E86" s="54">
        <f>E95/C80*100</f>
        <v>5.1745128627930415</v>
      </c>
      <c r="F86" s="53">
        <f>F95/C80*100</f>
        <v>45.6262485792519</v>
      </c>
      <c r="G86" s="53">
        <f>G95/C80*100</f>
        <v>69.897290009127218</v>
      </c>
      <c r="H86" s="55">
        <f>H95/C80*100</f>
        <v>102.25867858229432</v>
      </c>
    </row>
    <row r="87" spans="1:8" s="3" customFormat="1" ht="13.8" x14ac:dyDescent="0.3">
      <c r="A87" s="47">
        <f>A86+10</f>
        <v>420.45027840300259</v>
      </c>
      <c r="B87" s="56">
        <f>B96/C80*100</f>
        <v>-116.57491242061771</v>
      </c>
      <c r="C87" s="56">
        <f>C96/C80*100</f>
        <v>-75.137631369073432</v>
      </c>
      <c r="D87" s="56">
        <f>D96/C80*100</f>
        <v>-33.700350317529157</v>
      </c>
      <c r="E87" s="57">
        <f>E96/C80*100</f>
        <v>7.7369307340151181</v>
      </c>
      <c r="F87" s="56">
        <f>F96/C80*100</f>
        <v>49.174211785559393</v>
      </c>
      <c r="G87" s="56">
        <f>G96/C80*100</f>
        <v>74.036580416485961</v>
      </c>
      <c r="H87" s="58">
        <f>H96/C80*100</f>
        <v>107.18640525772139</v>
      </c>
    </row>
    <row r="88" spans="1:8" s="3" customFormat="1" ht="13.8" x14ac:dyDescent="0.3">
      <c r="A88" s="47">
        <f>A87+10</f>
        <v>430.45027840300259</v>
      </c>
      <c r="B88" s="56">
        <f>B97/C80*100</f>
        <v>-116.96913055465185</v>
      </c>
      <c r="C88" s="56">
        <f>C97/C80*100</f>
        <v>-74.546304168022175</v>
      </c>
      <c r="D88" s="56">
        <f>D97/C80*100</f>
        <v>-32.123477781392488</v>
      </c>
      <c r="E88" s="57">
        <f>E97/C80*100</f>
        <v>10.299348605237194</v>
      </c>
      <c r="F88" s="56">
        <f>F97/C80*100</f>
        <v>52.722174991866879</v>
      </c>
      <c r="G88" s="56">
        <f>G97/C80*100</f>
        <v>78.175870823844704</v>
      </c>
      <c r="H88" s="58">
        <f>H97/C80*100</f>
        <v>112.11413193314846</v>
      </c>
    </row>
    <row r="89" spans="1:8" s="3" customFormat="1" ht="13.8" x14ac:dyDescent="0.3">
      <c r="A89" s="47">
        <f>A88+10</f>
        <v>440.45027840300259</v>
      </c>
      <c r="B89" s="56">
        <f>B98/C80*100</f>
        <v>-117.36334868868603</v>
      </c>
      <c r="C89" s="56">
        <f>C98/C80*100</f>
        <v>-73.954976966970932</v>
      </c>
      <c r="D89" s="56">
        <f>D98/C80*100</f>
        <v>-30.546605245255833</v>
      </c>
      <c r="E89" s="57">
        <f>E98/C80*100</f>
        <v>12.86176647645927</v>
      </c>
      <c r="F89" s="56">
        <f>F98/C80*100</f>
        <v>56.270138198174365</v>
      </c>
      <c r="G89" s="56">
        <f>G98/C80*100</f>
        <v>82.315161231203433</v>
      </c>
      <c r="H89" s="58">
        <f>H98/C80*100</f>
        <v>117.04185860857552</v>
      </c>
    </row>
    <row r="90" spans="1:8" s="3" customFormat="1" ht="13.8" x14ac:dyDescent="0.3">
      <c r="A90" s="745" t="s">
        <v>404</v>
      </c>
      <c r="B90" s="746"/>
      <c r="C90" s="746"/>
      <c r="D90" s="746"/>
      <c r="E90" s="746"/>
      <c r="F90" s="746"/>
      <c r="G90" s="746"/>
      <c r="H90" s="747"/>
    </row>
    <row r="91" spans="1:8" s="3" customFormat="1" ht="13.8" x14ac:dyDescent="0.3">
      <c r="A91" s="43" t="s">
        <v>332</v>
      </c>
      <c r="B91" s="44">
        <f>E91-1.5</f>
        <v>-0.19999999999999996</v>
      </c>
      <c r="C91" s="44">
        <f>E91-1</f>
        <v>0.30000000000000004</v>
      </c>
      <c r="D91" s="44">
        <f>E91-0.5</f>
        <v>0.8</v>
      </c>
      <c r="E91" s="45">
        <f>B69</f>
        <v>1.3</v>
      </c>
      <c r="F91" s="44">
        <f>E91+0.5</f>
        <v>1.8</v>
      </c>
      <c r="G91" s="44">
        <f>E91+0.8</f>
        <v>2.1</v>
      </c>
      <c r="H91" s="46">
        <f>E91+1.2</f>
        <v>2.5</v>
      </c>
    </row>
    <row r="92" spans="1:8" s="3" customFormat="1" ht="13.8" x14ac:dyDescent="0.3">
      <c r="A92" s="47">
        <f>A93-10</f>
        <v>380.45027840300259</v>
      </c>
      <c r="B92" s="48">
        <f>(B91*A92)-C80</f>
        <v>-583.42338901393384</v>
      </c>
      <c r="C92" s="48">
        <f>(C91*A92)-C80</f>
        <v>-393.19824981243255</v>
      </c>
      <c r="D92" s="48">
        <f>(D91*A92)-C80</f>
        <v>-202.97311061093131</v>
      </c>
      <c r="E92" s="49">
        <f>(E91*A92)-C80</f>
        <v>-12.747971409430022</v>
      </c>
      <c r="F92" s="48">
        <f>(F91*A92)-C80</f>
        <v>177.47716779207133</v>
      </c>
      <c r="G92" s="48">
        <f>(G91*A92)-C80</f>
        <v>291.61225131297203</v>
      </c>
      <c r="H92" s="50">
        <f>(H91*A92)-C80</f>
        <v>443.79236267417309</v>
      </c>
    </row>
    <row r="93" spans="1:8" s="3" customFormat="1" ht="13.8" x14ac:dyDescent="0.3">
      <c r="A93" s="47">
        <f>A94-10</f>
        <v>390.45027840300259</v>
      </c>
      <c r="B93" s="48">
        <f>(B91*A93)-C80</f>
        <v>-585.42338901393384</v>
      </c>
      <c r="C93" s="48">
        <f>(C91*A93)-C80</f>
        <v>-390.19824981243255</v>
      </c>
      <c r="D93" s="48">
        <f>(D91*A93)-C80</f>
        <v>-194.97311061093126</v>
      </c>
      <c r="E93" s="49">
        <f>(E91*A93)-C80</f>
        <v>0.25202859057003479</v>
      </c>
      <c r="F93" s="48">
        <f>(F91*A93)-C80</f>
        <v>195.47716779207133</v>
      </c>
      <c r="G93" s="48">
        <f>(G91*A93)-C80</f>
        <v>312.61225131297215</v>
      </c>
      <c r="H93" s="50">
        <f>(H91*A93)-C80</f>
        <v>468.79236267417309</v>
      </c>
    </row>
    <row r="94" spans="1:8" s="3" customFormat="1" ht="13.8" x14ac:dyDescent="0.3">
      <c r="A94" s="47">
        <f>A95-10</f>
        <v>400.45027840300259</v>
      </c>
      <c r="B94" s="48">
        <f>(A94*B91)-C80</f>
        <v>-587.42338901393384</v>
      </c>
      <c r="C94" s="48">
        <f>(C91*A94)-C80</f>
        <v>-387.19824981243255</v>
      </c>
      <c r="D94" s="48">
        <f>(D91*A94)-C80</f>
        <v>-186.97311061093126</v>
      </c>
      <c r="E94" s="49">
        <f>(E91*A94)-C80</f>
        <v>13.252028590570035</v>
      </c>
      <c r="F94" s="48">
        <f>(F91*A94)-C80</f>
        <v>213.47716779207133</v>
      </c>
      <c r="G94" s="48">
        <f>(G91*A94)-C80</f>
        <v>333.61225131297215</v>
      </c>
      <c r="H94" s="50">
        <f>(H91*A94)-C80</f>
        <v>493.79236267417309</v>
      </c>
    </row>
    <row r="95" spans="1:8" s="3" customFormat="1" ht="13.8" x14ac:dyDescent="0.3">
      <c r="A95" s="51">
        <f>B70</f>
        <v>410.45027840300259</v>
      </c>
      <c r="B95" s="53">
        <f>(A95*B91)-C80</f>
        <v>-589.42338901393384</v>
      </c>
      <c r="C95" s="53">
        <f>(A95*C91)-C80</f>
        <v>-384.19824981243255</v>
      </c>
      <c r="D95" s="53">
        <f>(D91*A95)-C80</f>
        <v>-178.97311061093126</v>
      </c>
      <c r="E95" s="54">
        <f>(A95*E91)-C80</f>
        <v>26.252028590570035</v>
      </c>
      <c r="F95" s="53">
        <f>(A95*F91)-C80</f>
        <v>231.47716779207133</v>
      </c>
      <c r="G95" s="53">
        <f>(G91*A95)-C80</f>
        <v>354.61225131297215</v>
      </c>
      <c r="H95" s="55">
        <f>(H91*A95)-C80</f>
        <v>518.79236267417321</v>
      </c>
    </row>
    <row r="96" spans="1:8" s="3" customFormat="1" ht="13.8" x14ac:dyDescent="0.3">
      <c r="A96" s="47">
        <f>A95+10</f>
        <v>420.45027840300259</v>
      </c>
      <c r="B96" s="56">
        <f>(A96*B91)-C80</f>
        <v>-591.42338901393384</v>
      </c>
      <c r="C96" s="56">
        <f>(C91*A96)-C80</f>
        <v>-381.19824981243255</v>
      </c>
      <c r="D96" s="56">
        <f>(D91*A96)-C80</f>
        <v>-170.97311061093126</v>
      </c>
      <c r="E96" s="57">
        <f>(E91*A96)-C80</f>
        <v>39.252028590570035</v>
      </c>
      <c r="F96" s="56">
        <f>(F91*A96)-C80</f>
        <v>249.47716779207133</v>
      </c>
      <c r="G96" s="56">
        <f>(G91*A96)-C80</f>
        <v>375.61225131297215</v>
      </c>
      <c r="H96" s="58">
        <f>(H91*A96)-C80</f>
        <v>543.79236267417321</v>
      </c>
    </row>
    <row r="97" spans="1:8" s="3" customFormat="1" ht="13.8" x14ac:dyDescent="0.3">
      <c r="A97" s="47">
        <f>A96+10</f>
        <v>430.45027840300259</v>
      </c>
      <c r="B97" s="56">
        <f>(A97*B91)-C80</f>
        <v>-593.42338901393384</v>
      </c>
      <c r="C97" s="56">
        <f>(C91*A97)-C80</f>
        <v>-378.19824981243255</v>
      </c>
      <c r="D97" s="56">
        <f>(D91*A97)-C80</f>
        <v>-162.97311061093126</v>
      </c>
      <c r="E97" s="57">
        <f>(E91*A97)-C80</f>
        <v>52.252028590570035</v>
      </c>
      <c r="F97" s="56">
        <f>(F91*A97)-C80</f>
        <v>267.47716779207133</v>
      </c>
      <c r="G97" s="56">
        <f>(G91*A97)-C80</f>
        <v>396.61225131297215</v>
      </c>
      <c r="H97" s="58">
        <f>(H91*A97)-C80</f>
        <v>568.79236267417321</v>
      </c>
    </row>
    <row r="98" spans="1:8" s="3" customFormat="1" ht="13.8" x14ac:dyDescent="0.3">
      <c r="A98" s="59">
        <f>A97+10</f>
        <v>440.45027840300259</v>
      </c>
      <c r="B98" s="60">
        <f>(B91*A98)-C80</f>
        <v>-595.42338901393384</v>
      </c>
      <c r="C98" s="60">
        <f>(C91*A98)-C80</f>
        <v>-375.19824981243255</v>
      </c>
      <c r="D98" s="60">
        <f>(D91*A98)-C80</f>
        <v>-154.97311061093126</v>
      </c>
      <c r="E98" s="61">
        <f>(E91*A98)-C80</f>
        <v>65.252028590570035</v>
      </c>
      <c r="F98" s="60">
        <f>(F91*A98)-C80</f>
        <v>285.47716779207133</v>
      </c>
      <c r="G98" s="60">
        <f>(G91*A98)-C80</f>
        <v>417.61225131297215</v>
      </c>
      <c r="H98" s="62">
        <f>(A98*H91)-C80</f>
        <v>593.79236267417321</v>
      </c>
    </row>
  </sheetData>
  <mergeCells count="16">
    <mergeCell ref="G69:I70"/>
    <mergeCell ref="A90:H90"/>
    <mergeCell ref="A81:H81"/>
    <mergeCell ref="A1:H1"/>
    <mergeCell ref="C16:D16"/>
    <mergeCell ref="C20:D20"/>
    <mergeCell ref="C23:D23"/>
    <mergeCell ref="C26:D26"/>
    <mergeCell ref="C31:D31"/>
    <mergeCell ref="C39:D39"/>
    <mergeCell ref="A80:B80"/>
    <mergeCell ref="C42:D42"/>
    <mergeCell ref="C52:D52"/>
    <mergeCell ref="C55:D55"/>
    <mergeCell ref="C58:D58"/>
    <mergeCell ref="C60:D60"/>
  </mergeCells>
  <pageMargins left="0.78749999999999998" right="0.78749999999999998" top="1.0527777777777778" bottom="1.0527777777777778" header="0.78749999999999998" footer="0.78749999999999998"/>
  <pageSetup paperSize="9" scale="55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9"/>
  <sheetViews>
    <sheetView showGridLines="0" topLeftCell="A23" zoomScale="95" zoomScaleNormal="95" workbookViewId="0">
      <selection activeCell="B29" sqref="B29"/>
    </sheetView>
  </sheetViews>
  <sheetFormatPr baseColWidth="10" defaultColWidth="10.6640625" defaultRowHeight="14.4" x14ac:dyDescent="0.3"/>
  <cols>
    <col min="1" max="1" width="31" style="1" customWidth="1"/>
    <col min="2" max="2" width="10.44140625" style="1" customWidth="1"/>
    <col min="3" max="3" width="11" style="1" customWidth="1"/>
    <col min="4" max="4" width="11.6640625" style="2" bestFit="1" customWidth="1"/>
    <col min="5" max="5" width="11.33203125" style="1" customWidth="1"/>
    <col min="6" max="6" width="8" style="1" customWidth="1"/>
    <col min="7" max="7" width="13.5546875" style="1" bestFit="1" customWidth="1"/>
    <col min="8" max="8" width="7.109375" style="1" bestFit="1" customWidth="1"/>
    <col min="9" max="9" width="11.5546875" style="1" customWidth="1"/>
    <col min="10" max="16384" width="10.6640625" style="1"/>
  </cols>
  <sheetData>
    <row r="1" spans="1:10" s="3" customFormat="1" ht="21.6" thickBot="1" x14ac:dyDescent="0.45">
      <c r="A1" s="664" t="s">
        <v>405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Proy'!B11+'Resumen Proy'!B27</f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4.4" customHeight="1" x14ac:dyDescent="0.3">
      <c r="A5" s="207"/>
      <c r="B5" s="8"/>
      <c r="C5" s="7"/>
      <c r="D5" s="4" t="s">
        <v>245</v>
      </c>
      <c r="E5" s="9"/>
      <c r="G5" s="9"/>
      <c r="J5" s="3" t="s">
        <v>244</v>
      </c>
    </row>
    <row r="6" spans="1:10" s="3" customFormat="1" ht="14.4" customHeight="1" x14ac:dyDescent="0.3">
      <c r="A6" s="208" t="s">
        <v>204</v>
      </c>
      <c r="B6" s="11"/>
      <c r="C6" s="12"/>
      <c r="D6" s="13"/>
      <c r="E6" s="14"/>
      <c r="F6" s="15"/>
    </row>
    <row r="7" spans="1:10" s="3" customFormat="1" ht="14.4" customHeight="1" x14ac:dyDescent="0.3">
      <c r="A7" s="209" t="s">
        <v>246</v>
      </c>
      <c r="B7" s="169">
        <v>0</v>
      </c>
      <c r="C7" s="18" t="s">
        <v>247</v>
      </c>
      <c r="D7" s="160">
        <f>Cotizaciones!F8</f>
        <v>0</v>
      </c>
      <c r="E7" s="160">
        <f t="shared" ref="E7:E16" si="0">B7*D7</f>
        <v>0</v>
      </c>
    </row>
    <row r="8" spans="1:10" s="3" customFormat="1" ht="14.4" customHeight="1" x14ac:dyDescent="0.3">
      <c r="A8" s="209" t="s">
        <v>250</v>
      </c>
      <c r="B8" s="169">
        <v>0</v>
      </c>
      <c r="C8" s="18" t="s">
        <v>247</v>
      </c>
      <c r="D8" s="160">
        <f>Cotizaciones!F18</f>
        <v>17</v>
      </c>
      <c r="E8" s="160">
        <f t="shared" si="0"/>
        <v>0</v>
      </c>
    </row>
    <row r="9" spans="1:10" s="3" customFormat="1" ht="13.8" x14ac:dyDescent="0.3">
      <c r="A9" s="209" t="s">
        <v>251</v>
      </c>
      <c r="B9" s="169">
        <v>0</v>
      </c>
      <c r="C9" s="18" t="s">
        <v>247</v>
      </c>
      <c r="D9" s="160">
        <f>Cotizaciones!F17</f>
        <v>5</v>
      </c>
      <c r="E9" s="160">
        <f t="shared" si="0"/>
        <v>0</v>
      </c>
    </row>
    <row r="10" spans="1:10" s="3" customFormat="1" ht="13.8" x14ac:dyDescent="0.3">
      <c r="A10" s="209" t="s">
        <v>345</v>
      </c>
      <c r="B10" s="169">
        <v>1</v>
      </c>
      <c r="C10" s="18" t="s">
        <v>247</v>
      </c>
      <c r="D10" s="160">
        <f>Cotizaciones!F22</f>
        <v>42</v>
      </c>
      <c r="E10" s="160">
        <f t="shared" si="0"/>
        <v>42</v>
      </c>
      <c r="H10" s="93">
        <v>41245</v>
      </c>
      <c r="J10" s="3" t="s">
        <v>268</v>
      </c>
    </row>
    <row r="11" spans="1:10" s="3" customFormat="1" ht="13.8" x14ac:dyDescent="0.3">
      <c r="A11" s="209" t="s">
        <v>346</v>
      </c>
      <c r="B11" s="169">
        <v>1</v>
      </c>
      <c r="C11" s="18" t="s">
        <v>247</v>
      </c>
      <c r="D11" s="160">
        <f>Cotizaciones!F17</f>
        <v>5</v>
      </c>
      <c r="E11" s="160">
        <f t="shared" si="0"/>
        <v>5</v>
      </c>
      <c r="H11" s="93">
        <v>40909</v>
      </c>
      <c r="I11" s="93">
        <v>40940</v>
      </c>
      <c r="J11" s="3" t="s">
        <v>268</v>
      </c>
    </row>
    <row r="12" spans="1:10" s="3" customFormat="1" ht="13.8" x14ac:dyDescent="0.3">
      <c r="A12" s="209" t="s">
        <v>346</v>
      </c>
      <c r="B12" s="169">
        <v>1</v>
      </c>
      <c r="C12" s="18" t="s">
        <v>247</v>
      </c>
      <c r="D12" s="160">
        <f>D11</f>
        <v>5</v>
      </c>
      <c r="E12" s="160">
        <f t="shared" si="0"/>
        <v>5</v>
      </c>
      <c r="H12" s="93"/>
      <c r="I12" s="93"/>
      <c r="J12" s="3" t="s">
        <v>347</v>
      </c>
    </row>
    <row r="13" spans="1:10" s="3" customFormat="1" ht="13.8" x14ac:dyDescent="0.3">
      <c r="A13" s="209" t="s">
        <v>348</v>
      </c>
      <c r="B13" s="169">
        <v>1</v>
      </c>
      <c r="C13" s="18" t="s">
        <v>247</v>
      </c>
      <c r="D13" s="160">
        <f>Cotizaciones!F10</f>
        <v>0</v>
      </c>
      <c r="E13" s="160">
        <f t="shared" si="0"/>
        <v>0</v>
      </c>
      <c r="H13" s="93">
        <v>40941</v>
      </c>
      <c r="J13" s="3" t="s">
        <v>347</v>
      </c>
    </row>
    <row r="14" spans="1:10" s="3" customFormat="1" ht="13.8" x14ac:dyDescent="0.3">
      <c r="A14" s="209" t="s">
        <v>262</v>
      </c>
      <c r="B14" s="169">
        <v>0</v>
      </c>
      <c r="C14" s="18" t="s">
        <v>247</v>
      </c>
      <c r="D14" s="160">
        <f>Cotizaciones!F15</f>
        <v>1</v>
      </c>
      <c r="E14" s="160">
        <f t="shared" si="0"/>
        <v>0</v>
      </c>
    </row>
    <row r="15" spans="1:10" s="3" customFormat="1" ht="13.8" x14ac:dyDescent="0.3">
      <c r="A15" s="209" t="s">
        <v>263</v>
      </c>
      <c r="B15" s="169">
        <v>0</v>
      </c>
      <c r="C15" s="18" t="s">
        <v>247</v>
      </c>
      <c r="D15" s="160">
        <f>Cotizaciones!F5</f>
        <v>0</v>
      </c>
      <c r="E15" s="160">
        <f t="shared" si="0"/>
        <v>0</v>
      </c>
    </row>
    <row r="16" spans="1:10" s="3" customFormat="1" ht="13.8" x14ac:dyDescent="0.3">
      <c r="A16" s="209" t="s">
        <v>264</v>
      </c>
      <c r="B16" s="169">
        <v>0</v>
      </c>
      <c r="C16" s="18" t="s">
        <v>247</v>
      </c>
      <c r="D16" s="160">
        <f>Cotizaciones!F13</f>
        <v>0</v>
      </c>
      <c r="E16" s="160">
        <f t="shared" si="0"/>
        <v>0</v>
      </c>
    </row>
    <row r="17" spans="1:10" s="3" customFormat="1" ht="13.8" x14ac:dyDescent="0.3">
      <c r="A17" s="209" t="s">
        <v>377</v>
      </c>
      <c r="B17" s="169">
        <v>1</v>
      </c>
      <c r="C17" s="18" t="s">
        <v>247</v>
      </c>
      <c r="D17" s="160">
        <f>Cotizaciones!F12</f>
        <v>0</v>
      </c>
      <c r="E17" s="160">
        <f>(B21*D17)/1000</f>
        <v>0</v>
      </c>
      <c r="H17" s="93">
        <v>41244</v>
      </c>
      <c r="J17" s="3" t="s">
        <v>268</v>
      </c>
    </row>
    <row r="18" spans="1:10" s="3" customFormat="1" ht="15" customHeight="1" x14ac:dyDescent="0.3">
      <c r="A18" s="210"/>
      <c r="B18" s="20"/>
      <c r="C18" s="667" t="s">
        <v>265</v>
      </c>
      <c r="D18" s="667"/>
      <c r="E18" s="141">
        <f>SUM(E7:E17)</f>
        <v>52</v>
      </c>
      <c r="F18" s="159">
        <f>E18/E67</f>
        <v>7.4410351624685636E-2</v>
      </c>
      <c r="G18" s="21">
        <f>E18*D1</f>
        <v>0</v>
      </c>
    </row>
    <row r="19" spans="1:10" s="3" customFormat="1" ht="13.8" x14ac:dyDescent="0.3">
      <c r="A19" s="208" t="s">
        <v>205</v>
      </c>
      <c r="B19" s="23"/>
      <c r="C19" s="12"/>
      <c r="D19" s="24"/>
      <c r="E19" s="25"/>
      <c r="F19" s="15"/>
    </row>
    <row r="20" spans="1:10" s="3" customFormat="1" ht="13.8" x14ac:dyDescent="0.3">
      <c r="A20" s="211"/>
      <c r="B20" s="27"/>
      <c r="C20" s="18"/>
      <c r="D20" s="28"/>
      <c r="E20" s="29"/>
    </row>
    <row r="21" spans="1:10" s="3" customFormat="1" ht="13.8" x14ac:dyDescent="0.3">
      <c r="A21" s="212" t="s">
        <v>349</v>
      </c>
      <c r="B21" s="169">
        <v>100</v>
      </c>
      <c r="C21" s="18" t="s">
        <v>350</v>
      </c>
      <c r="D21" s="161">
        <f>Cotizaciones!E46/1000</f>
        <v>0.35499999999999998</v>
      </c>
      <c r="E21" s="162">
        <f>B21*D21</f>
        <v>35.5</v>
      </c>
      <c r="H21" s="93">
        <v>41215</v>
      </c>
      <c r="J21" s="3" t="s">
        <v>268</v>
      </c>
    </row>
    <row r="22" spans="1:10" s="3" customFormat="1" ht="13.8" x14ac:dyDescent="0.3">
      <c r="A22" s="212"/>
      <c r="B22" s="30"/>
      <c r="C22" s="667" t="s">
        <v>270</v>
      </c>
      <c r="D22" s="667"/>
      <c r="E22" s="141">
        <f>SUM(E21:E21)</f>
        <v>35.5</v>
      </c>
      <c r="F22" s="159">
        <f>E22/E67</f>
        <v>5.0799374666852692E-2</v>
      </c>
      <c r="G22" s="21">
        <f>E22*D1</f>
        <v>0</v>
      </c>
    </row>
    <row r="23" spans="1:10" s="3" customFormat="1" ht="13.8" x14ac:dyDescent="0.3">
      <c r="A23" s="212"/>
      <c r="B23" s="27"/>
      <c r="C23" s="18"/>
      <c r="D23" s="28"/>
      <c r="E23" s="29"/>
    </row>
    <row r="24" spans="1:10" s="3" customFormat="1" ht="13.8" x14ac:dyDescent="0.3">
      <c r="A24" s="208" t="s">
        <v>206</v>
      </c>
      <c r="B24" s="11">
        <v>1</v>
      </c>
      <c r="C24" s="12" t="s">
        <v>247</v>
      </c>
      <c r="D24" s="13">
        <f>'Resumen Proy'!D11</f>
        <v>426</v>
      </c>
      <c r="E24" s="172">
        <f>B24*D24</f>
        <v>426</v>
      </c>
      <c r="F24" s="15"/>
    </row>
    <row r="25" spans="1:10" s="3" customFormat="1" ht="13.8" x14ac:dyDescent="0.3">
      <c r="A25" s="212"/>
      <c r="B25" s="27"/>
      <c r="C25" s="754" t="s">
        <v>271</v>
      </c>
      <c r="D25" s="754"/>
      <c r="E25" s="176">
        <f>E24</f>
        <v>426</v>
      </c>
      <c r="F25" s="22">
        <f>E25/E67</f>
        <v>0.60959249600223231</v>
      </c>
    </row>
    <row r="26" spans="1:10" s="3" customFormat="1" ht="13.8" x14ac:dyDescent="0.3">
      <c r="A26" s="212"/>
      <c r="B26" s="27"/>
      <c r="C26" s="18"/>
      <c r="D26" s="28"/>
      <c r="E26" s="29"/>
    </row>
    <row r="27" spans="1:10" s="3" customFormat="1" ht="13.8" x14ac:dyDescent="0.3">
      <c r="A27" s="208" t="s">
        <v>207</v>
      </c>
      <c r="B27" s="281">
        <v>8</v>
      </c>
      <c r="C27" s="12" t="s">
        <v>272</v>
      </c>
      <c r="D27" s="173">
        <f>B27</f>
        <v>8</v>
      </c>
      <c r="E27" s="174">
        <f>D27</f>
        <v>8</v>
      </c>
      <c r="F27" s="15"/>
    </row>
    <row r="28" spans="1:10" s="3" customFormat="1" ht="13.8" x14ac:dyDescent="0.3">
      <c r="A28" s="212"/>
      <c r="B28" s="27"/>
      <c r="C28" s="754" t="s">
        <v>273</v>
      </c>
      <c r="D28" s="754"/>
      <c r="E28" s="141">
        <f>E27</f>
        <v>8</v>
      </c>
      <c r="F28" s="22"/>
    </row>
    <row r="29" spans="1:10" s="3" customFormat="1" ht="13.8" x14ac:dyDescent="0.3">
      <c r="A29" s="212"/>
      <c r="B29" s="27"/>
      <c r="C29" s="7"/>
      <c r="D29" s="7"/>
      <c r="E29" s="33"/>
    </row>
    <row r="30" spans="1:10" s="3" customFormat="1" ht="13.8" x14ac:dyDescent="0.3">
      <c r="A30" s="208" t="s">
        <v>140</v>
      </c>
      <c r="B30" s="23"/>
      <c r="C30" s="12"/>
      <c r="D30" s="24"/>
      <c r="E30" s="25"/>
      <c r="F30" s="15"/>
    </row>
    <row r="31" spans="1:10" s="3" customFormat="1" ht="13.8" x14ac:dyDescent="0.3">
      <c r="A31" s="212" t="s">
        <v>351</v>
      </c>
      <c r="B31" s="170">
        <v>0</v>
      </c>
      <c r="C31" s="18" t="s">
        <v>275</v>
      </c>
      <c r="D31" s="179">
        <v>0</v>
      </c>
      <c r="E31" s="146">
        <f>B31*D31</f>
        <v>0</v>
      </c>
    </row>
    <row r="32" spans="1:10" s="3" customFormat="1" ht="13.8" x14ac:dyDescent="0.3">
      <c r="A32" s="212" t="s">
        <v>20</v>
      </c>
      <c r="B32" s="170">
        <v>0</v>
      </c>
      <c r="C32" s="18" t="s">
        <v>275</v>
      </c>
      <c r="D32" s="179">
        <v>0</v>
      </c>
      <c r="E32" s="146">
        <f>B32*D32</f>
        <v>0</v>
      </c>
    </row>
    <row r="33" spans="1:10" s="3" customFormat="1" ht="13.8" x14ac:dyDescent="0.3">
      <c r="A33" s="212"/>
      <c r="B33" s="30"/>
      <c r="C33" s="667" t="s">
        <v>280</v>
      </c>
      <c r="D33" s="667"/>
      <c r="E33" s="176">
        <f>SUM(E31:E32)</f>
        <v>0</v>
      </c>
      <c r="F33" s="22"/>
    </row>
    <row r="34" spans="1:10" s="3" customFormat="1" ht="13.8" x14ac:dyDescent="0.3">
      <c r="A34" s="208" t="s">
        <v>118</v>
      </c>
      <c r="B34" s="23"/>
      <c r="C34" s="12"/>
      <c r="D34" s="24"/>
      <c r="E34" s="25"/>
      <c r="F34" s="15"/>
    </row>
    <row r="35" spans="1:10" s="3" customFormat="1" ht="13.8" x14ac:dyDescent="0.3">
      <c r="A35" s="212" t="s">
        <v>145</v>
      </c>
      <c r="B35" s="169">
        <v>0.5</v>
      </c>
      <c r="C35" s="18" t="s">
        <v>283</v>
      </c>
      <c r="D35" s="146">
        <f>Cotizaciones!I6</f>
        <v>3</v>
      </c>
      <c r="E35" s="146">
        <f>B35*D35</f>
        <v>1.5</v>
      </c>
      <c r="H35" s="3" t="str">
        <f>A13</f>
        <v>Aplicación terrestre Insecticida</v>
      </c>
      <c r="J35" s="3" t="s">
        <v>352</v>
      </c>
    </row>
    <row r="36" spans="1:10" s="3" customFormat="1" ht="13.8" x14ac:dyDescent="0.3">
      <c r="A36" s="212" t="s">
        <v>406</v>
      </c>
      <c r="B36" s="171">
        <v>0.3</v>
      </c>
      <c r="C36" s="18" t="s">
        <v>283</v>
      </c>
      <c r="D36" s="146">
        <f>Cotizaciones!I20</f>
        <v>20</v>
      </c>
      <c r="E36" s="146">
        <f>B36*D36</f>
        <v>6</v>
      </c>
      <c r="H36" s="3" t="str">
        <f>A11</f>
        <v>Pulverizacion Herbicida</v>
      </c>
      <c r="J36" s="3" t="s">
        <v>352</v>
      </c>
    </row>
    <row r="37" spans="1:10" s="3" customFormat="1" ht="13.8" x14ac:dyDescent="0.3">
      <c r="A37" s="212" t="s">
        <v>100</v>
      </c>
      <c r="B37" s="171">
        <v>2</v>
      </c>
      <c r="C37" s="18" t="s">
        <v>283</v>
      </c>
      <c r="D37" s="146">
        <f>Cotizaciones!I42</f>
        <v>1.1000000000000001</v>
      </c>
      <c r="E37" s="146">
        <f>B37*D37</f>
        <v>2.2000000000000002</v>
      </c>
      <c r="H37" s="3" t="str">
        <f>H36</f>
        <v>Pulverizacion Herbicida</v>
      </c>
      <c r="J37" s="3" t="s">
        <v>352</v>
      </c>
    </row>
    <row r="38" spans="1:10" s="3" customFormat="1" ht="13.8" x14ac:dyDescent="0.3">
      <c r="A38" s="212" t="s">
        <v>353</v>
      </c>
      <c r="B38" s="171">
        <f>B21/2500</f>
        <v>0.04</v>
      </c>
      <c r="C38" s="18" t="s">
        <v>378</v>
      </c>
      <c r="D38" s="146">
        <f>Cotizaciones!I29</f>
        <v>250</v>
      </c>
      <c r="E38" s="146">
        <f>(D38*B38)</f>
        <v>10</v>
      </c>
      <c r="H38" s="3" t="str">
        <f>A10</f>
        <v>Siembra Directa</v>
      </c>
      <c r="J38" s="3" t="s">
        <v>268</v>
      </c>
    </row>
    <row r="39" spans="1:10" s="3" customFormat="1" ht="13.8" x14ac:dyDescent="0.3">
      <c r="A39" s="212" t="s">
        <v>68</v>
      </c>
      <c r="B39" s="171">
        <v>7</v>
      </c>
      <c r="C39" s="18" t="s">
        <v>283</v>
      </c>
      <c r="D39" s="145">
        <f>Cotizaciones!I28</f>
        <v>4.5</v>
      </c>
      <c r="E39" s="146">
        <f t="shared" ref="E39:E44" si="1">B39*D39</f>
        <v>31.5</v>
      </c>
      <c r="H39" s="3" t="str">
        <f>H36</f>
        <v>Pulverizacion Herbicida</v>
      </c>
      <c r="J39" s="3" t="s">
        <v>352</v>
      </c>
    </row>
    <row r="40" spans="1:10" s="3" customFormat="1" ht="13.8" x14ac:dyDescent="0.3">
      <c r="A40" s="212" t="s">
        <v>7</v>
      </c>
      <c r="B40" s="171">
        <v>0</v>
      </c>
      <c r="C40" s="18" t="s">
        <v>283</v>
      </c>
      <c r="D40" s="146">
        <f>Cotizaciones!I5</f>
        <v>4.5999999999999996</v>
      </c>
      <c r="E40" s="146">
        <f t="shared" si="1"/>
        <v>0</v>
      </c>
    </row>
    <row r="41" spans="1:10" s="3" customFormat="1" ht="13.8" x14ac:dyDescent="0.3">
      <c r="A41" s="212" t="s">
        <v>48</v>
      </c>
      <c r="B41" s="171">
        <v>0.05</v>
      </c>
      <c r="C41" s="18" t="s">
        <v>283</v>
      </c>
      <c r="D41" s="146">
        <f>Cotizaciones!I18</f>
        <v>22.05</v>
      </c>
      <c r="E41" s="146">
        <f t="shared" si="1"/>
        <v>1.1025</v>
      </c>
      <c r="J41" s="3" t="s">
        <v>268</v>
      </c>
    </row>
    <row r="42" spans="1:10" s="3" customFormat="1" ht="13.8" x14ac:dyDescent="0.3">
      <c r="A42" s="212" t="s">
        <v>42</v>
      </c>
      <c r="B42" s="171">
        <v>0</v>
      </c>
      <c r="C42" s="18" t="s">
        <v>283</v>
      </c>
      <c r="D42" s="146">
        <f>Cotizaciones!I15</f>
        <v>20</v>
      </c>
      <c r="E42" s="146">
        <f t="shared" si="1"/>
        <v>0</v>
      </c>
      <c r="H42" s="3" t="str">
        <f>H35</f>
        <v>Aplicación terrestre Insecticida</v>
      </c>
      <c r="J42" s="3" t="s">
        <v>347</v>
      </c>
    </row>
    <row r="43" spans="1:10" s="3" customFormat="1" ht="13.8" x14ac:dyDescent="0.3">
      <c r="A43" s="212" t="s">
        <v>51</v>
      </c>
      <c r="B43" s="171">
        <v>0.4</v>
      </c>
      <c r="C43" s="18" t="s">
        <v>283</v>
      </c>
      <c r="D43" s="146">
        <f>Cotizaciones!I19</f>
        <v>7</v>
      </c>
      <c r="E43" s="146">
        <f t="shared" si="1"/>
        <v>2.8000000000000003</v>
      </c>
      <c r="H43" s="3" t="str">
        <f>H35</f>
        <v>Aplicación terrestre Insecticida</v>
      </c>
      <c r="J43" s="3" t="s">
        <v>347</v>
      </c>
    </row>
    <row r="44" spans="1:10" s="3" customFormat="1" ht="13.8" x14ac:dyDescent="0.3">
      <c r="A44" s="212" t="s">
        <v>73</v>
      </c>
      <c r="B44" s="171">
        <v>0.12</v>
      </c>
      <c r="C44" s="18" t="s">
        <v>283</v>
      </c>
      <c r="D44" s="146">
        <f>Cotizaciones!I30</f>
        <v>100</v>
      </c>
      <c r="E44" s="146">
        <f t="shared" si="1"/>
        <v>12</v>
      </c>
      <c r="J44" s="3" t="s">
        <v>347</v>
      </c>
    </row>
    <row r="45" spans="1:10" s="3" customFormat="1" ht="13.8" x14ac:dyDescent="0.3">
      <c r="A45" s="212"/>
      <c r="B45" s="30"/>
      <c r="C45" s="667" t="s">
        <v>288</v>
      </c>
      <c r="D45" s="667"/>
      <c r="E45" s="176">
        <f>SUM(E35:E44)</f>
        <v>67.102499999999992</v>
      </c>
      <c r="F45" s="22">
        <f>E45/E67</f>
        <v>9.6021550382605139E-2</v>
      </c>
      <c r="G45" s="21">
        <f>E45*D1</f>
        <v>0</v>
      </c>
    </row>
    <row r="46" spans="1:10" s="3" customFormat="1" ht="13.8" x14ac:dyDescent="0.3">
      <c r="A46" s="212"/>
      <c r="B46" s="27"/>
      <c r="C46" s="18"/>
      <c r="D46" s="28"/>
      <c r="E46" s="29"/>
    </row>
    <row r="47" spans="1:10" s="3" customFormat="1" ht="13.8" x14ac:dyDescent="0.3">
      <c r="A47" s="208" t="s">
        <v>289</v>
      </c>
      <c r="B47" s="11">
        <v>1</v>
      </c>
      <c r="C47" s="12" t="s">
        <v>290</v>
      </c>
      <c r="D47" s="266">
        <v>65</v>
      </c>
      <c r="E47" s="25">
        <f>+D47*B47</f>
        <v>65</v>
      </c>
      <c r="F47" s="15"/>
      <c r="H47" s="93">
        <v>41031</v>
      </c>
    </row>
    <row r="48" spans="1:10" s="3" customFormat="1" ht="13.8" x14ac:dyDescent="0.3">
      <c r="A48" s="213"/>
      <c r="B48" s="36"/>
      <c r="C48" s="754"/>
      <c r="D48" s="754"/>
      <c r="E48" s="176">
        <f>E47</f>
        <v>65</v>
      </c>
      <c r="F48" s="22">
        <f>E48/E67</f>
        <v>9.3012939530857042E-2</v>
      </c>
    </row>
    <row r="49" spans="1:6" s="3" customFormat="1" ht="13.8" x14ac:dyDescent="0.3">
      <c r="A49" s="208" t="s">
        <v>300</v>
      </c>
      <c r="B49" s="23"/>
      <c r="C49" s="12"/>
      <c r="D49" s="24"/>
      <c r="E49" s="25"/>
      <c r="F49" s="15"/>
    </row>
    <row r="50" spans="1:6" s="3" customFormat="1" ht="13.8" x14ac:dyDescent="0.3">
      <c r="A50" s="213" t="s">
        <v>301</v>
      </c>
      <c r="B50" s="181">
        <v>0</v>
      </c>
      <c r="C50" s="18" t="s">
        <v>302</v>
      </c>
      <c r="D50" s="145">
        <f>Cotizaciones!F24</f>
        <v>3.3</v>
      </c>
      <c r="E50" s="146">
        <f>D50*B50*B71</f>
        <v>0</v>
      </c>
      <c r="F50" s="94"/>
    </row>
    <row r="51" spans="1:6" s="3" customFormat="1" ht="13.8" x14ac:dyDescent="0.3">
      <c r="A51" s="213" t="s">
        <v>303</v>
      </c>
      <c r="B51" s="181">
        <v>0</v>
      </c>
      <c r="C51" s="18" t="s">
        <v>355</v>
      </c>
      <c r="D51" s="145">
        <f>Cotizaciones!I41/210</f>
        <v>1.9523809523809523</v>
      </c>
      <c r="E51" s="146">
        <f>D51*B51*B72</f>
        <v>0</v>
      </c>
      <c r="F51" s="94"/>
    </row>
    <row r="52" spans="1:6" s="3" customFormat="1" ht="13.8" x14ac:dyDescent="0.3">
      <c r="A52" s="213" t="s">
        <v>305</v>
      </c>
      <c r="B52" s="181">
        <v>0</v>
      </c>
      <c r="C52" s="18" t="s">
        <v>302</v>
      </c>
      <c r="D52" s="146">
        <f>Cotizaciones!F33</f>
        <v>3</v>
      </c>
      <c r="E52" s="146">
        <f>+D52*B52*$B$71</f>
        <v>0</v>
      </c>
      <c r="F52" s="94"/>
    </row>
    <row r="53" spans="1:6" s="3" customFormat="1" ht="13.8" x14ac:dyDescent="0.3">
      <c r="A53" s="213" t="s">
        <v>306</v>
      </c>
      <c r="B53" s="181">
        <v>0.5</v>
      </c>
      <c r="C53" s="18" t="s">
        <v>302</v>
      </c>
      <c r="D53" s="146">
        <f>Cotizaciones!F35</f>
        <v>5</v>
      </c>
      <c r="E53" s="146">
        <f>+D53*B53*$B$71</f>
        <v>3.75</v>
      </c>
      <c r="F53" s="94"/>
    </row>
    <row r="54" spans="1:6" s="3" customFormat="1" ht="13.8" x14ac:dyDescent="0.3">
      <c r="A54" s="213" t="s">
        <v>83</v>
      </c>
      <c r="B54" s="181">
        <v>0.5</v>
      </c>
      <c r="C54" s="18" t="s">
        <v>302</v>
      </c>
      <c r="D54" s="146">
        <f>Cotizaciones!F36</f>
        <v>6.5</v>
      </c>
      <c r="E54" s="146">
        <f>+D54*B54*$B$71</f>
        <v>4.875</v>
      </c>
      <c r="F54" s="94"/>
    </row>
    <row r="55" spans="1:6" s="3" customFormat="1" ht="13.8" x14ac:dyDescent="0.3">
      <c r="A55" s="213" t="s">
        <v>307</v>
      </c>
      <c r="B55" s="181">
        <v>1</v>
      </c>
      <c r="C55" s="18" t="s">
        <v>302</v>
      </c>
      <c r="D55" s="146">
        <f>Cotizaciones!F5</f>
        <v>0</v>
      </c>
      <c r="E55" s="146">
        <f>+D55*B55*$B$71</f>
        <v>0</v>
      </c>
      <c r="F55" s="94"/>
    </row>
    <row r="56" spans="1:6" s="3" customFormat="1" ht="13.8" x14ac:dyDescent="0.3">
      <c r="A56" s="213" t="s">
        <v>308</v>
      </c>
      <c r="B56" s="181">
        <v>1</v>
      </c>
      <c r="C56" s="18" t="s">
        <v>302</v>
      </c>
      <c r="D56" s="146">
        <f>Cotizaciones!F25</f>
        <v>20</v>
      </c>
      <c r="E56" s="146">
        <f>+D56*B56*$B$71</f>
        <v>30</v>
      </c>
      <c r="F56" s="94"/>
    </row>
    <row r="57" spans="1:6" s="3" customFormat="1" ht="13.8" x14ac:dyDescent="0.3">
      <c r="A57" s="213" t="s">
        <v>309</v>
      </c>
      <c r="B57" s="181">
        <v>0</v>
      </c>
      <c r="C57" s="18" t="s">
        <v>295</v>
      </c>
      <c r="D57" s="146">
        <f>B57%*B74</f>
        <v>0</v>
      </c>
      <c r="E57" s="146">
        <f>D57</f>
        <v>0</v>
      </c>
      <c r="F57" s="94"/>
    </row>
    <row r="58" spans="1:6" s="3" customFormat="1" ht="13.8" x14ac:dyDescent="0.3">
      <c r="A58" s="213"/>
      <c r="B58" s="37"/>
      <c r="C58" s="667" t="s">
        <v>310</v>
      </c>
      <c r="D58" s="667"/>
      <c r="E58" s="176">
        <f>SUM(E52:E57)</f>
        <v>38.625</v>
      </c>
      <c r="F58" s="22">
        <f>E58/E67</f>
        <v>5.5271150605836206E-2</v>
      </c>
    </row>
    <row r="59" spans="1:6" s="3" customFormat="1" ht="13.8" x14ac:dyDescent="0.3">
      <c r="A59" s="213"/>
      <c r="B59" s="37"/>
      <c r="C59" s="7"/>
      <c r="D59" s="7"/>
      <c r="E59" s="38"/>
    </row>
    <row r="60" spans="1:6" s="3" customFormat="1" ht="13.8" x14ac:dyDescent="0.3">
      <c r="A60" s="213"/>
      <c r="B60" s="36"/>
      <c r="C60" s="18"/>
      <c r="D60" s="28"/>
      <c r="E60" s="29"/>
    </row>
    <row r="61" spans="1:6" s="3" customFormat="1" ht="13.8" x14ac:dyDescent="0.3">
      <c r="A61" s="208" t="s">
        <v>292</v>
      </c>
      <c r="B61" s="182">
        <v>2.2000000000000002</v>
      </c>
      <c r="C61" s="12" t="s">
        <v>241</v>
      </c>
      <c r="D61" s="177">
        <f>B61%*300</f>
        <v>6.6000000000000005</v>
      </c>
      <c r="E61" s="178">
        <f>D61</f>
        <v>6.6000000000000005</v>
      </c>
      <c r="F61" s="15"/>
    </row>
    <row r="62" spans="1:6" s="3" customFormat="1" ht="13.8" x14ac:dyDescent="0.3">
      <c r="A62" s="213"/>
      <c r="B62" s="180"/>
      <c r="C62" s="754" t="s">
        <v>293</v>
      </c>
      <c r="D62" s="754"/>
      <c r="E62" s="176">
        <f>E61</f>
        <v>6.6000000000000005</v>
      </c>
      <c r="F62" s="22">
        <f>E62/E67</f>
        <v>9.4443907831331768E-3</v>
      </c>
    </row>
    <row r="63" spans="1:6" s="3" customFormat="1" ht="13.8" x14ac:dyDescent="0.3">
      <c r="A63" s="213"/>
      <c r="B63" s="180"/>
      <c r="C63" s="7"/>
      <c r="D63" s="7"/>
      <c r="E63" s="38"/>
    </row>
    <row r="64" spans="1:6" s="3" customFormat="1" ht="13.8" x14ac:dyDescent="0.3">
      <c r="A64" s="208" t="s">
        <v>294</v>
      </c>
      <c r="B64" s="182">
        <v>0</v>
      </c>
      <c r="C64" s="12" t="s">
        <v>295</v>
      </c>
      <c r="D64" s="177">
        <v>0</v>
      </c>
      <c r="E64" s="178">
        <f>(E45+E33+E25+E18)*D64/100</f>
        <v>0</v>
      </c>
      <c r="F64" s="15"/>
    </row>
    <row r="65" spans="1:6" s="3" customFormat="1" ht="13.8" x14ac:dyDescent="0.3">
      <c r="A65" s="212"/>
      <c r="B65" s="27"/>
      <c r="C65" s="754" t="s">
        <v>296</v>
      </c>
      <c r="D65" s="754"/>
      <c r="E65" s="176"/>
      <c r="F65" s="22"/>
    </row>
    <row r="66" spans="1:6" s="3" customFormat="1" ht="13.8" x14ac:dyDescent="0.3">
      <c r="A66" s="212"/>
      <c r="B66" s="27"/>
      <c r="C66" s="7"/>
      <c r="D66" s="7"/>
      <c r="E66" s="38"/>
    </row>
    <row r="67" spans="1:6" s="3" customFormat="1" ht="13.8" x14ac:dyDescent="0.3">
      <c r="A67" s="212"/>
      <c r="B67" s="27"/>
      <c r="C67" s="667" t="s">
        <v>317</v>
      </c>
      <c r="D67" s="667"/>
      <c r="E67" s="176">
        <f>E18+E22+E25+E28+E33+E45+E48+E58+E62+E65</f>
        <v>698.82749999999999</v>
      </c>
      <c r="F67" s="22">
        <f>F62+F58+F48+F45+F22+F18+F25</f>
        <v>0.98855225359620214</v>
      </c>
    </row>
    <row r="68" spans="1:6" s="3" customFormat="1" ht="13.8" x14ac:dyDescent="0.3">
      <c r="A68" s="30"/>
      <c r="B68" s="30"/>
      <c r="C68" s="18"/>
      <c r="D68" s="28"/>
      <c r="E68" s="18">
        <f>+E67*B3</f>
        <v>0</v>
      </c>
    </row>
    <row r="69" spans="1:6" s="3" customFormat="1" ht="13.8" x14ac:dyDescent="0.3">
      <c r="D69" s="28"/>
      <c r="E69" s="18"/>
    </row>
    <row r="70" spans="1:6" s="3" customFormat="1" thickBot="1" x14ac:dyDescent="0.35">
      <c r="D70" s="28"/>
      <c r="E70" s="39"/>
    </row>
    <row r="71" spans="1:6" s="3" customFormat="1" ht="13.8" x14ac:dyDescent="0.3">
      <c r="A71" s="193" t="s">
        <v>315</v>
      </c>
      <c r="B71" s="265">
        <v>1.5</v>
      </c>
      <c r="C71" s="194" t="s">
        <v>316</v>
      </c>
      <c r="D71" s="768"/>
      <c r="E71" s="768"/>
      <c r="F71" s="768"/>
    </row>
    <row r="72" spans="1:6" s="3" customFormat="1" ht="13.8" x14ac:dyDescent="0.3">
      <c r="A72" s="190" t="s">
        <v>341</v>
      </c>
      <c r="B72" s="200">
        <f>Cotizaciones!B14</f>
        <v>355</v>
      </c>
      <c r="C72" s="196" t="s">
        <v>275</v>
      </c>
      <c r="D72" s="768"/>
      <c r="E72" s="768"/>
      <c r="F72" s="768"/>
    </row>
    <row r="73" spans="1:6" s="3" customFormat="1" ht="13.8" x14ac:dyDescent="0.3">
      <c r="A73" s="191" t="s">
        <v>317</v>
      </c>
      <c r="B73" s="201">
        <f>E18+E22+E25+E28+E33+E45+E48+E58+E62+E65</f>
        <v>698.82749999999999</v>
      </c>
      <c r="C73" s="197" t="s">
        <v>21</v>
      </c>
      <c r="D73" s="239"/>
      <c r="E73" s="239"/>
      <c r="F73" s="239"/>
    </row>
    <row r="74" spans="1:6" s="3" customFormat="1" ht="13.8" x14ac:dyDescent="0.3">
      <c r="A74" s="190" t="s">
        <v>160</v>
      </c>
      <c r="B74" s="200">
        <f>+B72*B71</f>
        <v>532.5</v>
      </c>
      <c r="C74" s="196" t="s">
        <v>318</v>
      </c>
      <c r="D74" s="186">
        <f>+B74*B3</f>
        <v>0</v>
      </c>
      <c r="E74" s="187"/>
      <c r="F74" s="188"/>
    </row>
    <row r="75" spans="1:6" s="3" customFormat="1" ht="13.8" x14ac:dyDescent="0.3">
      <c r="A75" s="191" t="s">
        <v>321</v>
      </c>
      <c r="B75" s="202">
        <f>+B74-E67</f>
        <v>-166.32749999999999</v>
      </c>
      <c r="C75" s="197" t="s">
        <v>318</v>
      </c>
      <c r="D75" s="186"/>
      <c r="E75" s="187"/>
      <c r="F75" s="188"/>
    </row>
    <row r="76" spans="1:6" s="3" customFormat="1" ht="13.8" x14ac:dyDescent="0.3">
      <c r="A76" s="191" t="s">
        <v>325</v>
      </c>
      <c r="B76" s="198">
        <f>B75/E67</f>
        <v>-0.23800937999720959</v>
      </c>
      <c r="C76" s="197"/>
      <c r="D76" s="28"/>
      <c r="E76" s="30"/>
    </row>
    <row r="77" spans="1:6" s="3" customFormat="1" ht="13.8" x14ac:dyDescent="0.3">
      <c r="A77" s="190" t="s">
        <v>326</v>
      </c>
      <c r="B77" s="234">
        <f>(E18+E22+E25+E33+E45+E62+E48+E28)/(B72-B57%*B72-D50*B50-D51*B51-D54*B54-D55*B55-D56*B56-D52*B52-D53*B53)</f>
        <v>2.0051708428246013</v>
      </c>
      <c r="C77" s="197"/>
      <c r="D77" s="28"/>
      <c r="E77" s="30"/>
    </row>
    <row r="78" spans="1:6" s="3" customFormat="1" ht="13.8" x14ac:dyDescent="0.3">
      <c r="A78" s="191" t="s">
        <v>164</v>
      </c>
      <c r="B78" s="203">
        <f>E18+E22+E25*0.8+(E28*0.9)+E33+E45</f>
        <v>502.60249999999996</v>
      </c>
      <c r="C78" s="197"/>
      <c r="D78" s="28"/>
      <c r="E78" s="30"/>
    </row>
    <row r="79" spans="1:6" s="3" customFormat="1" thickBot="1" x14ac:dyDescent="0.35">
      <c r="A79" s="192" t="s">
        <v>327</v>
      </c>
      <c r="B79" s="204">
        <f>B75/B78</f>
        <v>-0.3309324963564646</v>
      </c>
      <c r="C79" s="199"/>
      <c r="D79" s="28"/>
      <c r="E79" s="30"/>
    </row>
    <row r="81" spans="1:8" s="3" customFormat="1" ht="13.8" x14ac:dyDescent="0.3">
      <c r="A81" s="755" t="s">
        <v>317</v>
      </c>
      <c r="B81" s="755"/>
      <c r="C81" s="42">
        <f>E67</f>
        <v>698.82749999999999</v>
      </c>
      <c r="D81" s="28"/>
      <c r="E81" s="30"/>
    </row>
    <row r="82" spans="1:8" s="3" customFormat="1" ht="13.8" x14ac:dyDescent="0.3">
      <c r="A82" s="142" t="s">
        <v>359</v>
      </c>
      <c r="B82" s="143"/>
      <c r="C82" s="143"/>
      <c r="D82" s="143"/>
      <c r="E82" s="143"/>
      <c r="F82" s="143"/>
      <c r="G82" s="143"/>
      <c r="H82" s="144"/>
    </row>
    <row r="83" spans="1:8" s="3" customFormat="1" ht="13.8" x14ac:dyDescent="0.3">
      <c r="A83" s="43" t="s">
        <v>332</v>
      </c>
      <c r="B83" s="44">
        <f>E83-1.5</f>
        <v>0</v>
      </c>
      <c r="C83" s="44">
        <f>E83-1</f>
        <v>0.5</v>
      </c>
      <c r="D83" s="44">
        <f>E83-0.5</f>
        <v>1</v>
      </c>
      <c r="E83" s="45">
        <f>B71</f>
        <v>1.5</v>
      </c>
      <c r="F83" s="44">
        <f>E83+0.5</f>
        <v>2</v>
      </c>
      <c r="G83" s="44">
        <f>E83+0.8</f>
        <v>2.2999999999999998</v>
      </c>
      <c r="H83" s="46">
        <f>E83+1.2</f>
        <v>2.7</v>
      </c>
    </row>
    <row r="84" spans="1:8" s="3" customFormat="1" ht="13.8" x14ac:dyDescent="0.3">
      <c r="A84" s="47">
        <f>A85-10</f>
        <v>325</v>
      </c>
      <c r="B84" s="48">
        <f>B93/C81*100</f>
        <v>-100</v>
      </c>
      <c r="C84" s="48">
        <f>C93/C81*100</f>
        <v>-76.746765117285747</v>
      </c>
      <c r="D84" s="48">
        <f>D93/C81*100</f>
        <v>-53.493530234571473</v>
      </c>
      <c r="E84" s="49">
        <f>E93/C81*100</f>
        <v>-30.240295351857217</v>
      </c>
      <c r="F84" s="48">
        <f>F93/C81*100</f>
        <v>-6.9870604691429552</v>
      </c>
      <c r="G84" s="48">
        <f>G93/C81*100</f>
        <v>6.9648804604855856</v>
      </c>
      <c r="H84" s="50">
        <f>H93/C81*100</f>
        <v>25.567468366657025</v>
      </c>
    </row>
    <row r="85" spans="1:8" s="3" customFormat="1" ht="13.8" x14ac:dyDescent="0.3">
      <c r="A85" s="47">
        <f>A86-10</f>
        <v>335</v>
      </c>
      <c r="B85" s="48">
        <f>B94/C81*100</f>
        <v>-100</v>
      </c>
      <c r="C85" s="48">
        <f>C94/C81*100</f>
        <v>-76.031280967048374</v>
      </c>
      <c r="D85" s="48">
        <f>D94/C81*100</f>
        <v>-52.062561934096749</v>
      </c>
      <c r="E85" s="49">
        <f>E94/C81*100</f>
        <v>-28.093842901145134</v>
      </c>
      <c r="F85" s="48">
        <f>F94/C81*100</f>
        <v>-4.1251238681935076</v>
      </c>
      <c r="G85" s="48">
        <f>G94/C81*100</f>
        <v>10.256107551577449</v>
      </c>
      <c r="H85" s="50">
        <f>H94/C81*100</f>
        <v>29.431082777938784</v>
      </c>
    </row>
    <row r="86" spans="1:8" s="3" customFormat="1" ht="13.8" x14ac:dyDescent="0.3">
      <c r="A86" s="47">
        <f>A87-10</f>
        <v>345</v>
      </c>
      <c r="B86" s="48">
        <f>B95/C81*100</f>
        <v>-100</v>
      </c>
      <c r="C86" s="48">
        <f>C95/C81*100</f>
        <v>-75.315796816811016</v>
      </c>
      <c r="D86" s="48">
        <f>D95/C81*100</f>
        <v>-50.631593633622032</v>
      </c>
      <c r="E86" s="49">
        <f>E95/C81*100</f>
        <v>-25.947390450433044</v>
      </c>
      <c r="F86" s="48">
        <f>F95/C81*100</f>
        <v>-1.2631872672440603</v>
      </c>
      <c r="G86" s="48">
        <f>G95/C81*100</f>
        <v>13.547334642669314</v>
      </c>
      <c r="H86" s="50">
        <f>H95/C81*100</f>
        <v>33.294697189220535</v>
      </c>
    </row>
    <row r="87" spans="1:8" s="3" customFormat="1" ht="13.8" x14ac:dyDescent="0.3">
      <c r="A87" s="51">
        <f>B72</f>
        <v>355</v>
      </c>
      <c r="B87" s="52">
        <f>B96/C81*100</f>
        <v>-100</v>
      </c>
      <c r="C87" s="53">
        <f>C96/C81*100</f>
        <v>-74.600312666573657</v>
      </c>
      <c r="D87" s="53">
        <f>D96/C81*100</f>
        <v>-49.200625333147308</v>
      </c>
      <c r="E87" s="54">
        <f>E96/C81*100</f>
        <v>-23.800937999720958</v>
      </c>
      <c r="F87" s="53">
        <f>F96/C81*100</f>
        <v>1.5987493337053869</v>
      </c>
      <c r="G87" s="53">
        <f>G96/C81*100</f>
        <v>16.838561733761178</v>
      </c>
      <c r="H87" s="55">
        <f>H96/C81*100</f>
        <v>37.158311600502287</v>
      </c>
    </row>
    <row r="88" spans="1:8" s="3" customFormat="1" ht="13.8" x14ac:dyDescent="0.3">
      <c r="A88" s="47">
        <f>A87+10</f>
        <v>365</v>
      </c>
      <c r="B88" s="56">
        <f>B97/C81*100</f>
        <v>-100</v>
      </c>
      <c r="C88" s="56">
        <f>C97/C81*100</f>
        <v>-73.884828516336285</v>
      </c>
      <c r="D88" s="56">
        <f>D97/C81*100</f>
        <v>-47.769657032672583</v>
      </c>
      <c r="E88" s="57">
        <f>E97/C81*100</f>
        <v>-21.654485549008871</v>
      </c>
      <c r="F88" s="56">
        <f>F97/C81*100</f>
        <v>4.4606859346548342</v>
      </c>
      <c r="G88" s="56">
        <f>G97/C81*100</f>
        <v>20.129788824853044</v>
      </c>
      <c r="H88" s="58">
        <f>H97/C81*100</f>
        <v>41.021926011784046</v>
      </c>
    </row>
    <row r="89" spans="1:8" s="3" customFormat="1" ht="13.8" x14ac:dyDescent="0.3">
      <c r="A89" s="47">
        <f>A88+10</f>
        <v>375</v>
      </c>
      <c r="B89" s="56">
        <f>B98/C81*100</f>
        <v>-100</v>
      </c>
      <c r="C89" s="56">
        <f>C98/C81*100</f>
        <v>-73.169344366098926</v>
      </c>
      <c r="D89" s="56">
        <f>D98/C81*100</f>
        <v>-46.338688732197859</v>
      </c>
      <c r="E89" s="57">
        <f>E98/C81*100</f>
        <v>-19.508033098296789</v>
      </c>
      <c r="F89" s="56">
        <f>F98/C81*100</f>
        <v>7.3226225356042827</v>
      </c>
      <c r="G89" s="56">
        <f>G98/C81*100</f>
        <v>23.42101591594491</v>
      </c>
      <c r="H89" s="58">
        <f>H98/C81*100</f>
        <v>44.885540423065798</v>
      </c>
    </row>
    <row r="90" spans="1:8" s="3" customFormat="1" ht="13.8" x14ac:dyDescent="0.3">
      <c r="A90" s="47">
        <f>A89+10</f>
        <v>385</v>
      </c>
      <c r="B90" s="56">
        <f>B99/C81*100</f>
        <v>-100</v>
      </c>
      <c r="C90" s="56">
        <f>C99/C81*100</f>
        <v>-72.453860215861567</v>
      </c>
      <c r="D90" s="56">
        <f>D99/C81*100</f>
        <v>-44.907720431723135</v>
      </c>
      <c r="E90" s="57">
        <f>E99/C81*100</f>
        <v>-17.361580647584702</v>
      </c>
      <c r="F90" s="56">
        <f>F99/C81*100</f>
        <v>10.18455913655373</v>
      </c>
      <c r="G90" s="56">
        <f>G99/C81*100</f>
        <v>26.712243007036772</v>
      </c>
      <c r="H90" s="58">
        <f>H99/C81*100</f>
        <v>48.749154834347536</v>
      </c>
    </row>
    <row r="91" spans="1:8" s="3" customFormat="1" ht="13.8" x14ac:dyDescent="0.3">
      <c r="A91" s="745" t="s">
        <v>404</v>
      </c>
      <c r="B91" s="746"/>
      <c r="C91" s="746"/>
      <c r="D91" s="746"/>
      <c r="E91" s="746"/>
      <c r="F91" s="746"/>
      <c r="G91" s="746"/>
      <c r="H91" s="747"/>
    </row>
    <row r="92" spans="1:8" s="3" customFormat="1" ht="13.8" x14ac:dyDescent="0.3">
      <c r="A92" s="43" t="s">
        <v>332</v>
      </c>
      <c r="B92" s="44">
        <f>E92-1.5</f>
        <v>0</v>
      </c>
      <c r="C92" s="44">
        <f>E92-1</f>
        <v>0.5</v>
      </c>
      <c r="D92" s="44">
        <f>E92-0.5</f>
        <v>1</v>
      </c>
      <c r="E92" s="45">
        <f>B71</f>
        <v>1.5</v>
      </c>
      <c r="F92" s="44">
        <f>E92+0.5</f>
        <v>2</v>
      </c>
      <c r="G92" s="44">
        <f>E92+0.8</f>
        <v>2.2999999999999998</v>
      </c>
      <c r="H92" s="46">
        <f>E92+1.2</f>
        <v>2.7</v>
      </c>
    </row>
    <row r="93" spans="1:8" s="3" customFormat="1" ht="13.8" x14ac:dyDescent="0.3">
      <c r="A93" s="47">
        <f>A94-10</f>
        <v>325</v>
      </c>
      <c r="B93" s="48">
        <f>(B92*A93)-C81</f>
        <v>-698.82749999999999</v>
      </c>
      <c r="C93" s="48">
        <f>(C92*A93)-C81</f>
        <v>-536.32749999999999</v>
      </c>
      <c r="D93" s="48">
        <f>(D92*A93)-C81</f>
        <v>-373.82749999999999</v>
      </c>
      <c r="E93" s="49">
        <f>(E92*A93)-C81</f>
        <v>-211.32749999999999</v>
      </c>
      <c r="F93" s="48">
        <f>(F92*A93)-C81</f>
        <v>-48.827499999999986</v>
      </c>
      <c r="G93" s="48">
        <f>(G92*A93)-C81</f>
        <v>48.6724999999999</v>
      </c>
      <c r="H93" s="50">
        <f>(H92*A93)-C81</f>
        <v>178.67250000000013</v>
      </c>
    </row>
    <row r="94" spans="1:8" s="3" customFormat="1" ht="13.8" x14ac:dyDescent="0.3">
      <c r="A94" s="47">
        <f>A95-10</f>
        <v>335</v>
      </c>
      <c r="B94" s="48">
        <f>(B92*A94)-C81</f>
        <v>-698.82749999999999</v>
      </c>
      <c r="C94" s="48">
        <f>(C92*A94)-C81</f>
        <v>-531.32749999999999</v>
      </c>
      <c r="D94" s="48">
        <f>(D92*A94)-C81</f>
        <v>-363.82749999999999</v>
      </c>
      <c r="E94" s="49">
        <f>(E92*A94)-C81</f>
        <v>-196.32749999999999</v>
      </c>
      <c r="F94" s="48">
        <f>(F92*A94)-C81</f>
        <v>-28.827499999999986</v>
      </c>
      <c r="G94" s="48">
        <f>(G92*A94)-C81</f>
        <v>71.6724999999999</v>
      </c>
      <c r="H94" s="50">
        <f>(H92*A94)-C81</f>
        <v>205.67250000000013</v>
      </c>
    </row>
    <row r="95" spans="1:8" s="3" customFormat="1" ht="13.8" x14ac:dyDescent="0.3">
      <c r="A95" s="47">
        <f>A96-10</f>
        <v>345</v>
      </c>
      <c r="B95" s="48">
        <f>(A95*B92)-C81</f>
        <v>-698.82749999999999</v>
      </c>
      <c r="C95" s="48">
        <f>(C92*A95)-C81</f>
        <v>-526.32749999999999</v>
      </c>
      <c r="D95" s="48">
        <f>(D92*A95)-C81</f>
        <v>-353.82749999999999</v>
      </c>
      <c r="E95" s="49">
        <f>(E92*A95)-C81</f>
        <v>-181.32749999999999</v>
      </c>
      <c r="F95" s="48">
        <f>(F92*A95)-C81</f>
        <v>-8.8274999999999864</v>
      </c>
      <c r="G95" s="48">
        <f>(G92*A95)-C81</f>
        <v>94.6724999999999</v>
      </c>
      <c r="H95" s="50">
        <f>(H92*A95)-C81</f>
        <v>232.67250000000013</v>
      </c>
    </row>
    <row r="96" spans="1:8" s="3" customFormat="1" ht="13.8" x14ac:dyDescent="0.3">
      <c r="A96" s="51">
        <f>B72</f>
        <v>355</v>
      </c>
      <c r="B96" s="53">
        <f>(A96*B92)-C81</f>
        <v>-698.82749999999999</v>
      </c>
      <c r="C96" s="53">
        <f>(A96*C92)-C81</f>
        <v>-521.32749999999999</v>
      </c>
      <c r="D96" s="53">
        <f>(D92*A96)-C81</f>
        <v>-343.82749999999999</v>
      </c>
      <c r="E96" s="54">
        <f>(A96*E92)-C81</f>
        <v>-166.32749999999999</v>
      </c>
      <c r="F96" s="53">
        <f>(A96*F92)-C81</f>
        <v>11.172500000000014</v>
      </c>
      <c r="G96" s="53">
        <f>(G92*A96)-C81</f>
        <v>117.6724999999999</v>
      </c>
      <c r="H96" s="55">
        <f>(H92*A96)-C81</f>
        <v>259.67250000000013</v>
      </c>
    </row>
    <row r="97" spans="1:8" s="3" customFormat="1" ht="13.8" x14ac:dyDescent="0.3">
      <c r="A97" s="47">
        <f>A96+10</f>
        <v>365</v>
      </c>
      <c r="B97" s="56">
        <f>(A97*B92)-C81</f>
        <v>-698.82749999999999</v>
      </c>
      <c r="C97" s="56">
        <f>(C92*A97)-C81</f>
        <v>-516.32749999999999</v>
      </c>
      <c r="D97" s="56">
        <f>(D92*A97)-C81</f>
        <v>-333.82749999999999</v>
      </c>
      <c r="E97" s="57">
        <f>(E92*A97)-C81</f>
        <v>-151.32749999999999</v>
      </c>
      <c r="F97" s="56">
        <f>(F92*A97)-C81</f>
        <v>31.172500000000014</v>
      </c>
      <c r="G97" s="56">
        <f>(G92*A97)-C81</f>
        <v>140.6724999999999</v>
      </c>
      <c r="H97" s="58">
        <f>(H92*A97)-C81</f>
        <v>286.67250000000013</v>
      </c>
    </row>
    <row r="98" spans="1:8" x14ac:dyDescent="0.3">
      <c r="A98" s="47">
        <f>A97+10</f>
        <v>375</v>
      </c>
      <c r="B98" s="56">
        <f>(A98*B92)-C81</f>
        <v>-698.82749999999999</v>
      </c>
      <c r="C98" s="56">
        <f>(C92*A98)-C81</f>
        <v>-511.32749999999999</v>
      </c>
      <c r="D98" s="56">
        <f>(D92*A98)-C81</f>
        <v>-323.82749999999999</v>
      </c>
      <c r="E98" s="57">
        <f>(E92*A98)-C81</f>
        <v>-136.32749999999999</v>
      </c>
      <c r="F98" s="56">
        <f>(F92*A98)-C81</f>
        <v>51.172500000000014</v>
      </c>
      <c r="G98" s="56">
        <f>(G92*A98)-C81</f>
        <v>163.6724999999999</v>
      </c>
      <c r="H98" s="58">
        <f>(H92*A98)-C81</f>
        <v>313.67250000000013</v>
      </c>
    </row>
    <row r="99" spans="1:8" x14ac:dyDescent="0.3">
      <c r="A99" s="59">
        <f>A98+10</f>
        <v>385</v>
      </c>
      <c r="B99" s="60">
        <f>(B92*A99)-C81</f>
        <v>-698.82749999999999</v>
      </c>
      <c r="C99" s="60">
        <f>(C92*A99)-C81</f>
        <v>-506.32749999999999</v>
      </c>
      <c r="D99" s="60">
        <f>(D92*A99)-C81</f>
        <v>-313.82749999999999</v>
      </c>
      <c r="E99" s="61">
        <f>(E92*A99)-C81</f>
        <v>-121.32749999999999</v>
      </c>
      <c r="F99" s="60">
        <f>(F92*A99)-C81</f>
        <v>71.172500000000014</v>
      </c>
      <c r="G99" s="60">
        <f>(G92*A99)-C81</f>
        <v>186.6724999999999</v>
      </c>
      <c r="H99" s="62">
        <f>(A99*H92)-C81</f>
        <v>340.67250000000001</v>
      </c>
    </row>
  </sheetData>
  <mergeCells count="16">
    <mergeCell ref="A91:H91"/>
    <mergeCell ref="A1:H1"/>
    <mergeCell ref="C18:D18"/>
    <mergeCell ref="C22:D22"/>
    <mergeCell ref="C25:D25"/>
    <mergeCell ref="C28:D28"/>
    <mergeCell ref="C33:D33"/>
    <mergeCell ref="D71:F71"/>
    <mergeCell ref="D72:F72"/>
    <mergeCell ref="A81:B81"/>
    <mergeCell ref="C45:D45"/>
    <mergeCell ref="C48:D48"/>
    <mergeCell ref="C58:D58"/>
    <mergeCell ref="C62:D62"/>
    <mergeCell ref="C65:D65"/>
    <mergeCell ref="C67:D67"/>
  </mergeCells>
  <pageMargins left="0.1701388888888889" right="0.3" top="0.37013888888888891" bottom="1.320138888888889" header="0.51180555555555551" footer="0.51180555555555551"/>
  <pageSetup paperSize="9" scale="55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5"/>
  <sheetViews>
    <sheetView showGridLines="0" topLeftCell="A59" zoomScale="95" zoomScaleNormal="95" workbookViewId="0">
      <selection activeCell="E72" sqref="E72"/>
    </sheetView>
  </sheetViews>
  <sheetFormatPr baseColWidth="10" defaultColWidth="10.6640625" defaultRowHeight="14.4" x14ac:dyDescent="0.3"/>
  <cols>
    <col min="1" max="1" width="27.88671875" style="1" customWidth="1"/>
    <col min="2" max="2" width="13.109375" style="1" bestFit="1" customWidth="1"/>
    <col min="3" max="3" width="10.5546875" style="1" bestFit="1" customWidth="1"/>
    <col min="4" max="4" width="14.33203125" style="2" bestFit="1" customWidth="1"/>
    <col min="5" max="5" width="14.33203125" style="1" bestFit="1" customWidth="1"/>
    <col min="6" max="6" width="8.33203125" style="1" bestFit="1" customWidth="1"/>
    <col min="7" max="7" width="26.109375" style="1" bestFit="1" customWidth="1"/>
    <col min="8" max="8" width="12.44140625" style="1" bestFit="1" customWidth="1"/>
    <col min="9" max="9" width="13.109375" style="1" bestFit="1" customWidth="1"/>
    <col min="10" max="10" width="10.88671875" style="1" bestFit="1" customWidth="1"/>
    <col min="11" max="11" width="13.109375" style="1" bestFit="1" customWidth="1"/>
    <col min="12" max="12" width="12" style="1" bestFit="1" customWidth="1"/>
    <col min="13" max="16384" width="10.6640625" style="1"/>
  </cols>
  <sheetData>
    <row r="1" spans="1:10" s="3" customFormat="1" ht="21.6" thickBot="1" x14ac:dyDescent="0.45">
      <c r="A1" s="664" t="s">
        <v>382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7"/>
      <c r="B4" s="8"/>
      <c r="C4" s="7"/>
      <c r="D4" s="4" t="s">
        <v>245</v>
      </c>
      <c r="E4" s="9"/>
      <c r="J4" s="3" t="s">
        <v>244</v>
      </c>
    </row>
    <row r="5" spans="1:10" s="3" customFormat="1" ht="13.8" x14ac:dyDescent="0.3">
      <c r="A5" s="10" t="s">
        <v>204</v>
      </c>
      <c r="B5" s="11"/>
      <c r="C5" s="12"/>
      <c r="D5" s="13"/>
      <c r="E5" s="14"/>
      <c r="F5" s="15"/>
    </row>
    <row r="6" spans="1:10" s="3" customFormat="1" ht="13.8" x14ac:dyDescent="0.3">
      <c r="A6" s="16" t="s">
        <v>246</v>
      </c>
      <c r="B6" s="169">
        <v>0</v>
      </c>
      <c r="C6" s="18" t="s">
        <v>247</v>
      </c>
      <c r="D6" s="117">
        <v>35</v>
      </c>
      <c r="E6" s="117">
        <f t="shared" ref="E6:E20" si="0">B6*D6</f>
        <v>0</v>
      </c>
      <c r="J6" s="3" t="s">
        <v>256</v>
      </c>
    </row>
    <row r="7" spans="1:10" s="3" customFormat="1" ht="13.8" x14ac:dyDescent="0.3">
      <c r="A7" s="16" t="s">
        <v>250</v>
      </c>
      <c r="B7" s="169">
        <v>1</v>
      </c>
      <c r="C7" s="18" t="s">
        <v>247</v>
      </c>
      <c r="D7" s="117">
        <v>23</v>
      </c>
      <c r="E7" s="117">
        <f t="shared" si="0"/>
        <v>23</v>
      </c>
      <c r="J7" s="3" t="s">
        <v>256</v>
      </c>
    </row>
    <row r="8" spans="1:10" s="3" customFormat="1" ht="13.8" x14ac:dyDescent="0.3">
      <c r="A8" s="16" t="s">
        <v>251</v>
      </c>
      <c r="B8" s="169">
        <v>3</v>
      </c>
      <c r="C8" s="18" t="s">
        <v>247</v>
      </c>
      <c r="D8" s="522">
        <v>6.5</v>
      </c>
      <c r="E8" s="117">
        <f t="shared" si="0"/>
        <v>19.5</v>
      </c>
      <c r="G8" s="93">
        <v>41061</v>
      </c>
      <c r="H8" s="93">
        <v>41122</v>
      </c>
      <c r="J8" s="3" t="s">
        <v>256</v>
      </c>
    </row>
    <row r="9" spans="1:10" s="3" customFormat="1" ht="13.8" x14ac:dyDescent="0.3">
      <c r="A9" s="16" t="s">
        <v>407</v>
      </c>
      <c r="B9" s="169">
        <v>1</v>
      </c>
      <c r="C9" s="18" t="s">
        <v>247</v>
      </c>
      <c r="D9" s="522">
        <v>6.5</v>
      </c>
      <c r="E9" s="117">
        <f t="shared" si="0"/>
        <v>6.5</v>
      </c>
      <c r="G9" s="93"/>
      <c r="H9" s="93"/>
      <c r="J9" s="3" t="s">
        <v>408</v>
      </c>
    </row>
    <row r="10" spans="1:10" s="3" customFormat="1" ht="13.8" x14ac:dyDescent="0.3">
      <c r="A10" s="16" t="s">
        <v>345</v>
      </c>
      <c r="B10" s="169">
        <v>1</v>
      </c>
      <c r="C10" s="18" t="s">
        <v>247</v>
      </c>
      <c r="D10" s="522">
        <v>55</v>
      </c>
      <c r="E10" s="117">
        <f t="shared" si="0"/>
        <v>55</v>
      </c>
      <c r="G10" s="93">
        <v>41183</v>
      </c>
      <c r="J10" s="3" t="s">
        <v>408</v>
      </c>
    </row>
    <row r="11" spans="1:10" s="3" customFormat="1" ht="13.8" x14ac:dyDescent="0.3">
      <c r="A11" s="16" t="s">
        <v>384</v>
      </c>
      <c r="B11" s="169">
        <v>0</v>
      </c>
      <c r="C11" s="18" t="s">
        <v>247</v>
      </c>
      <c r="D11" s="522">
        <v>6.5</v>
      </c>
      <c r="E11" s="117">
        <f t="shared" si="0"/>
        <v>0</v>
      </c>
      <c r="G11" s="93">
        <v>41184</v>
      </c>
      <c r="H11" s="93">
        <v>41215</v>
      </c>
      <c r="J11" s="3" t="s">
        <v>261</v>
      </c>
    </row>
    <row r="12" spans="1:10" s="3" customFormat="1" ht="13.8" x14ac:dyDescent="0.3">
      <c r="A12" s="16" t="s">
        <v>384</v>
      </c>
      <c r="B12" s="169">
        <v>0</v>
      </c>
      <c r="C12" s="18" t="s">
        <v>247</v>
      </c>
      <c r="D12" s="522">
        <v>6.5</v>
      </c>
      <c r="E12" s="117">
        <f t="shared" si="0"/>
        <v>0</v>
      </c>
      <c r="G12" s="93"/>
      <c r="H12" s="93"/>
      <c r="J12" s="3" t="s">
        <v>268</v>
      </c>
    </row>
    <row r="13" spans="1:10" s="3" customFormat="1" ht="13.8" x14ac:dyDescent="0.3">
      <c r="A13" s="16" t="s">
        <v>385</v>
      </c>
      <c r="B13" s="169">
        <v>0</v>
      </c>
      <c r="C13" s="18" t="s">
        <v>247</v>
      </c>
      <c r="D13" s="117">
        <v>6</v>
      </c>
      <c r="E13" s="117">
        <f t="shared" si="0"/>
        <v>0</v>
      </c>
      <c r="J13" s="536" t="s">
        <v>268</v>
      </c>
    </row>
    <row r="14" spans="1:10" s="3" customFormat="1" ht="13.8" x14ac:dyDescent="0.3">
      <c r="A14" s="16" t="s">
        <v>386</v>
      </c>
      <c r="B14" s="169">
        <v>1</v>
      </c>
      <c r="C14" s="18" t="s">
        <v>247</v>
      </c>
      <c r="D14" s="117">
        <v>32</v>
      </c>
      <c r="E14" s="117">
        <f t="shared" si="0"/>
        <v>32</v>
      </c>
      <c r="G14" s="93">
        <v>41184</v>
      </c>
      <c r="J14" s="3" t="s">
        <v>261</v>
      </c>
    </row>
    <row r="15" spans="1:10" s="3" customFormat="1" ht="13.8" x14ac:dyDescent="0.3">
      <c r="A15" s="16" t="s">
        <v>386</v>
      </c>
      <c r="B15" s="169">
        <v>0</v>
      </c>
      <c r="C15" s="18" t="s">
        <v>247</v>
      </c>
      <c r="D15" s="117">
        <v>9</v>
      </c>
      <c r="E15" s="117">
        <f t="shared" si="0"/>
        <v>0</v>
      </c>
      <c r="G15" s="93"/>
      <c r="J15" s="3" t="s">
        <v>268</v>
      </c>
    </row>
    <row r="16" spans="1:10" s="3" customFormat="1" ht="13.8" x14ac:dyDescent="0.3">
      <c r="A16" s="16" t="s">
        <v>387</v>
      </c>
      <c r="B16" s="169">
        <v>0</v>
      </c>
      <c r="C16" s="18" t="s">
        <v>247</v>
      </c>
      <c r="D16" s="117">
        <v>6</v>
      </c>
      <c r="E16" s="117">
        <f t="shared" si="0"/>
        <v>0</v>
      </c>
      <c r="J16" s="536" t="s">
        <v>268</v>
      </c>
    </row>
    <row r="17" spans="1:10" s="3" customFormat="1" ht="13.8" x14ac:dyDescent="0.3">
      <c r="A17" s="16" t="s">
        <v>388</v>
      </c>
      <c r="B17" s="169">
        <v>0</v>
      </c>
      <c r="C17" s="18" t="s">
        <v>247</v>
      </c>
      <c r="D17" s="117">
        <f>+Cotizaciones!F16</f>
        <v>13</v>
      </c>
      <c r="E17" s="117">
        <f t="shared" si="0"/>
        <v>0</v>
      </c>
      <c r="J17" s="536" t="s">
        <v>268</v>
      </c>
    </row>
    <row r="18" spans="1:10" s="3" customFormat="1" ht="13.8" x14ac:dyDescent="0.3">
      <c r="A18" s="16" t="s">
        <v>262</v>
      </c>
      <c r="B18" s="169">
        <v>1</v>
      </c>
      <c r="C18" s="18" t="s">
        <v>247</v>
      </c>
      <c r="D18" s="117">
        <v>0</v>
      </c>
      <c r="E18" s="117">
        <f t="shared" si="0"/>
        <v>0</v>
      </c>
      <c r="G18" s="93">
        <f>+G8</f>
        <v>41061</v>
      </c>
      <c r="J18" s="3" t="s">
        <v>408</v>
      </c>
    </row>
    <row r="19" spans="1:10" s="3" customFormat="1" ht="13.8" x14ac:dyDescent="0.3">
      <c r="A19" s="16" t="s">
        <v>263</v>
      </c>
      <c r="B19" s="169">
        <v>0</v>
      </c>
      <c r="C19" s="18" t="s">
        <v>247</v>
      </c>
      <c r="D19" s="117">
        <v>1</v>
      </c>
      <c r="E19" s="117">
        <f t="shared" si="0"/>
        <v>0</v>
      </c>
      <c r="J19" s="3" t="s">
        <v>408</v>
      </c>
    </row>
    <row r="20" spans="1:10" s="3" customFormat="1" ht="13.8" x14ac:dyDescent="0.3">
      <c r="A20" s="16" t="s">
        <v>264</v>
      </c>
      <c r="B20" s="169">
        <v>0</v>
      </c>
      <c r="C20" s="18" t="s">
        <v>247</v>
      </c>
      <c r="D20" s="117">
        <v>1</v>
      </c>
      <c r="E20" s="117">
        <f t="shared" si="0"/>
        <v>0</v>
      </c>
    </row>
    <row r="21" spans="1:10" s="3" customFormat="1" ht="15" customHeight="1" x14ac:dyDescent="0.3">
      <c r="B21" s="7"/>
      <c r="C21" s="667" t="s">
        <v>265</v>
      </c>
      <c r="D21" s="667"/>
      <c r="E21" s="141">
        <f>SUM(E6:E20)</f>
        <v>136</v>
      </c>
      <c r="F21" s="22">
        <f>E21/E59</f>
        <v>0.11805453077664256</v>
      </c>
      <c r="G21" s="21">
        <f>E21*$B$3</f>
        <v>0</v>
      </c>
    </row>
    <row r="22" spans="1:10" s="3" customFormat="1" ht="13.8" x14ac:dyDescent="0.3">
      <c r="A22" s="10" t="s">
        <v>205</v>
      </c>
      <c r="B22" s="11"/>
      <c r="C22" s="12"/>
      <c r="D22" s="24"/>
      <c r="E22" s="172"/>
      <c r="F22" s="15"/>
    </row>
    <row r="23" spans="1:10" s="3" customFormat="1" ht="13.8" x14ac:dyDescent="0.3">
      <c r="A23" s="26"/>
      <c r="B23" s="87"/>
      <c r="C23" s="18"/>
      <c r="D23" s="28"/>
      <c r="E23" s="217"/>
    </row>
    <row r="24" spans="1:10" s="3" customFormat="1" ht="13.8" x14ac:dyDescent="0.3">
      <c r="A24" s="30" t="s">
        <v>389</v>
      </c>
      <c r="B24" s="229">
        <v>0.6</v>
      </c>
      <c r="C24" s="18" t="s">
        <v>390</v>
      </c>
      <c r="D24" s="19">
        <f>Cotizaciones!E44</f>
        <v>180</v>
      </c>
      <c r="E24" s="217">
        <f>B24*D24</f>
        <v>108</v>
      </c>
      <c r="G24" s="3" t="str">
        <f>+A10</f>
        <v>Siembra Directa</v>
      </c>
      <c r="J24" s="3" t="s">
        <v>268</v>
      </c>
    </row>
    <row r="25" spans="1:10" s="3" customFormat="1" ht="13.8" x14ac:dyDescent="0.3">
      <c r="A25" s="30"/>
      <c r="B25" s="18"/>
      <c r="C25" s="667" t="s">
        <v>270</v>
      </c>
      <c r="D25" s="667"/>
      <c r="E25" s="141">
        <f>SUM(E24:E24)</f>
        <v>108</v>
      </c>
      <c r="F25" s="22">
        <f>E25/E59</f>
        <v>9.3749186204980864E-2</v>
      </c>
      <c r="G25" s="21">
        <f>E25*$B$3</f>
        <v>0</v>
      </c>
    </row>
    <row r="26" spans="1:10" s="3" customFormat="1" ht="13.8" x14ac:dyDescent="0.3">
      <c r="A26" s="30"/>
      <c r="B26" s="87"/>
      <c r="C26" s="18"/>
      <c r="D26" s="28"/>
      <c r="E26" s="217"/>
    </row>
    <row r="27" spans="1:10" s="3" customFormat="1" ht="13.8" x14ac:dyDescent="0.3">
      <c r="A27" s="10" t="s">
        <v>206</v>
      </c>
      <c r="B27" s="11">
        <v>1</v>
      </c>
      <c r="C27" s="12" t="s">
        <v>247</v>
      </c>
      <c r="D27" s="526">
        <f>+'Resumen Proy'!C57</f>
        <v>426</v>
      </c>
      <c r="E27" s="174">
        <f>D27*B27</f>
        <v>426</v>
      </c>
      <c r="F27" s="15"/>
    </row>
    <row r="28" spans="1:10" s="3" customFormat="1" ht="13.8" x14ac:dyDescent="0.3">
      <c r="A28" s="30"/>
      <c r="B28" s="87"/>
      <c r="C28" s="667" t="s">
        <v>271</v>
      </c>
      <c r="D28" s="667"/>
      <c r="E28" s="176">
        <f>E27</f>
        <v>426</v>
      </c>
      <c r="F28" s="22">
        <f>E28/E59</f>
        <v>0.36978845669742449</v>
      </c>
      <c r="G28" s="21">
        <f>+'[2]Alquileres por campo'!$S$62</f>
        <v>1182540.176</v>
      </c>
    </row>
    <row r="29" spans="1:10" s="3" customFormat="1" ht="13.8" x14ac:dyDescent="0.3">
      <c r="A29" s="30"/>
      <c r="B29" s="87"/>
      <c r="C29" s="18"/>
      <c r="D29" s="28"/>
      <c r="E29" s="217"/>
    </row>
    <row r="30" spans="1:10" s="3" customFormat="1" ht="13.8" x14ac:dyDescent="0.3">
      <c r="A30" s="10" t="s">
        <v>207</v>
      </c>
      <c r="B30" s="281">
        <v>30</v>
      </c>
      <c r="C30" s="12" t="s">
        <v>272</v>
      </c>
      <c r="D30" s="173">
        <f>B30</f>
        <v>30</v>
      </c>
      <c r="E30" s="174">
        <f>D30</f>
        <v>30</v>
      </c>
      <c r="F30" s="15"/>
    </row>
    <row r="31" spans="1:10" s="3" customFormat="1" ht="13.8" x14ac:dyDescent="0.3">
      <c r="A31" s="30"/>
      <c r="B31" s="87"/>
      <c r="C31" s="667" t="s">
        <v>273</v>
      </c>
      <c r="D31" s="667"/>
      <c r="E31" s="141">
        <f>E30</f>
        <v>30</v>
      </c>
      <c r="F31" s="22">
        <f>E31/E59</f>
        <v>2.6041440612494682E-2</v>
      </c>
      <c r="G31" s="21">
        <f>E31*$B$3</f>
        <v>0</v>
      </c>
    </row>
    <row r="32" spans="1:10" s="3" customFormat="1" ht="13.8" x14ac:dyDescent="0.3">
      <c r="A32" s="10" t="s">
        <v>140</v>
      </c>
      <c r="B32" s="11"/>
      <c r="C32" s="12"/>
      <c r="D32" s="24"/>
      <c r="E32" s="172"/>
      <c r="F32" s="15"/>
    </row>
    <row r="33" spans="1:10" s="3" customFormat="1" ht="13.8" x14ac:dyDescent="0.3">
      <c r="A33" s="30" t="s">
        <v>391</v>
      </c>
      <c r="B33" s="170">
        <v>0.09</v>
      </c>
      <c r="C33" s="18" t="s">
        <v>275</v>
      </c>
      <c r="D33" s="19">
        <f>+Cotizaciones!I25</f>
        <v>990</v>
      </c>
      <c r="E33" s="117">
        <f>B33*D33</f>
        <v>89.1</v>
      </c>
      <c r="G33" s="3" t="str">
        <f>+A10</f>
        <v>Siembra Directa</v>
      </c>
      <c r="I33" s="3">
        <f>+E33*B3</f>
        <v>0</v>
      </c>
      <c r="J33" s="3" t="s">
        <v>276</v>
      </c>
    </row>
    <row r="34" spans="1:10" s="3" customFormat="1" ht="13.8" x14ac:dyDescent="0.3">
      <c r="A34" s="30" t="s">
        <v>392</v>
      </c>
      <c r="B34" s="170">
        <v>0.16</v>
      </c>
      <c r="C34" s="18" t="s">
        <v>275</v>
      </c>
      <c r="D34" s="19">
        <f>+Cotizaciones!I34</f>
        <v>610</v>
      </c>
      <c r="E34" s="117">
        <f>B34*D34</f>
        <v>97.600000000000009</v>
      </c>
      <c r="G34" s="93" t="str">
        <f>+A14</f>
        <v>Fertilización</v>
      </c>
    </row>
    <row r="35" spans="1:10" s="3" customFormat="1" ht="13.8" x14ac:dyDescent="0.3">
      <c r="A35" s="30" t="s">
        <v>269</v>
      </c>
      <c r="B35" s="170">
        <f>+B34+B33</f>
        <v>0.25</v>
      </c>
      <c r="C35" s="18"/>
      <c r="D35" s="522">
        <f>+'Trigo SP'!D35</f>
        <v>35</v>
      </c>
      <c r="E35" s="117">
        <f>+D35*B35</f>
        <v>8.75</v>
      </c>
      <c r="G35" s="93"/>
      <c r="I35" s="360">
        <f>+E34*B3</f>
        <v>0</v>
      </c>
      <c r="J35" s="3" t="s">
        <v>268</v>
      </c>
    </row>
    <row r="36" spans="1:10" s="3" customFormat="1" ht="13.8" x14ac:dyDescent="0.3">
      <c r="A36" s="30"/>
      <c r="B36" s="18"/>
      <c r="C36" s="667" t="s">
        <v>280</v>
      </c>
      <c r="D36" s="667"/>
      <c r="E36" s="176">
        <f>SUM(E33:E35)</f>
        <v>195.45</v>
      </c>
      <c r="F36" s="22">
        <f>E36/E59</f>
        <v>0.16965998559040285</v>
      </c>
      <c r="G36" s="21">
        <f>E36*$B$3</f>
        <v>0</v>
      </c>
    </row>
    <row r="37" spans="1:10" s="3" customFormat="1" ht="13.8" x14ac:dyDescent="0.3">
      <c r="A37" s="10" t="s">
        <v>118</v>
      </c>
      <c r="B37" s="12"/>
      <c r="C37" s="67"/>
      <c r="D37" s="67"/>
      <c r="E37" s="230"/>
      <c r="F37" s="15"/>
    </row>
    <row r="38" spans="1:10" s="3" customFormat="1" ht="13.8" x14ac:dyDescent="0.3">
      <c r="A38" s="30" t="s">
        <v>123</v>
      </c>
      <c r="B38" s="171">
        <v>1</v>
      </c>
      <c r="C38" s="18" t="s">
        <v>283</v>
      </c>
      <c r="D38" s="19">
        <f>+Cotizaciones!I20</f>
        <v>20</v>
      </c>
      <c r="E38" s="117">
        <f>B38*D38</f>
        <v>20</v>
      </c>
      <c r="G38" s="3" t="str">
        <f>+A8</f>
        <v>Barbecho Quimico</v>
      </c>
      <c r="I38" s="3" t="str">
        <f>+A11</f>
        <v xml:space="preserve">Pulverizacion Post-emergente </v>
      </c>
      <c r="J38" s="3" t="s">
        <v>253</v>
      </c>
    </row>
    <row r="39" spans="1:10" s="3" customFormat="1" ht="13.8" x14ac:dyDescent="0.3">
      <c r="A39" s="30" t="s">
        <v>282</v>
      </c>
      <c r="B39" s="171">
        <v>2</v>
      </c>
      <c r="C39" s="18" t="s">
        <v>283</v>
      </c>
      <c r="D39" s="19">
        <f>+Cotizaciones!I45</f>
        <v>2.6</v>
      </c>
      <c r="E39" s="146">
        <f>B39*D39</f>
        <v>5.2</v>
      </c>
    </row>
    <row r="40" spans="1:10" s="3" customFormat="1" ht="13.8" x14ac:dyDescent="0.3">
      <c r="A40" s="30" t="s">
        <v>127</v>
      </c>
      <c r="B40" s="171">
        <v>8</v>
      </c>
      <c r="C40" s="18" t="s">
        <v>283</v>
      </c>
      <c r="D40" s="19">
        <f>+Cotizaciones!I28</f>
        <v>4.5</v>
      </c>
      <c r="E40" s="117">
        <f>B40*D40</f>
        <v>36</v>
      </c>
      <c r="G40" s="3" t="str">
        <f>+G38</f>
        <v>Barbecho Quimico</v>
      </c>
      <c r="I40" s="3" t="str">
        <f>+I38</f>
        <v xml:space="preserve">Pulverizacion Post-emergente </v>
      </c>
      <c r="J40" s="3" t="s">
        <v>261</v>
      </c>
    </row>
    <row r="41" spans="1:10" s="3" customFormat="1" ht="13.8" x14ac:dyDescent="0.3">
      <c r="A41" s="30" t="s">
        <v>7</v>
      </c>
      <c r="B41" s="171">
        <v>1.6</v>
      </c>
      <c r="C41" s="18" t="s">
        <v>283</v>
      </c>
      <c r="D41" s="19">
        <f>+Cotizaciones!I5</f>
        <v>4.5999999999999996</v>
      </c>
      <c r="E41" s="117">
        <f>B41*D41</f>
        <v>7.3599999999999994</v>
      </c>
      <c r="G41" s="3" t="str">
        <f>+G40</f>
        <v>Barbecho Quimico</v>
      </c>
      <c r="J41" s="3" t="s">
        <v>261</v>
      </c>
    </row>
    <row r="42" spans="1:10" s="3" customFormat="1" ht="13.8" x14ac:dyDescent="0.3">
      <c r="A42" s="30" t="s">
        <v>84</v>
      </c>
      <c r="B42" s="171">
        <v>0</v>
      </c>
      <c r="C42" s="18" t="s">
        <v>283</v>
      </c>
      <c r="D42" s="19">
        <f>+Cotizaciones!I36</f>
        <v>7</v>
      </c>
      <c r="E42" s="117">
        <f>B42*D42</f>
        <v>0</v>
      </c>
      <c r="J42" s="3" t="s">
        <v>408</v>
      </c>
    </row>
    <row r="43" spans="1:10" s="3" customFormat="1" ht="13.8" x14ac:dyDescent="0.3">
      <c r="A43" s="30" t="s">
        <v>530</v>
      </c>
      <c r="B43" s="171">
        <v>0.1</v>
      </c>
      <c r="C43" s="18" t="s">
        <v>283</v>
      </c>
      <c r="D43" s="19">
        <f>+Cotizaciones!I53</f>
        <v>200</v>
      </c>
      <c r="E43" s="146">
        <f>+D43*B43</f>
        <v>20</v>
      </c>
      <c r="J43" s="536" t="s">
        <v>408</v>
      </c>
    </row>
    <row r="44" spans="1:10" s="3" customFormat="1" ht="13.8" x14ac:dyDescent="0.3">
      <c r="A44" s="30" t="s">
        <v>129</v>
      </c>
      <c r="B44" s="171">
        <v>2</v>
      </c>
      <c r="C44" s="18" t="s">
        <v>283</v>
      </c>
      <c r="D44" s="19">
        <f>+Cotizaciones!I10</f>
        <v>5.7</v>
      </c>
      <c r="E44" s="146">
        <f>B44*D44</f>
        <v>11.4</v>
      </c>
      <c r="G44" s="3" t="str">
        <f>+I38</f>
        <v xml:space="preserve">Pulverizacion Post-emergente </v>
      </c>
      <c r="J44" s="3" t="s">
        <v>408</v>
      </c>
    </row>
    <row r="45" spans="1:10" s="3" customFormat="1" ht="13.8" x14ac:dyDescent="0.3">
      <c r="A45" s="30" t="s">
        <v>66</v>
      </c>
      <c r="B45" s="171">
        <v>1.6</v>
      </c>
      <c r="C45" s="18" t="s">
        <v>283</v>
      </c>
      <c r="D45" s="19">
        <f>+Cotizaciones!I27</f>
        <v>6</v>
      </c>
      <c r="E45" s="146">
        <f>B45*D45</f>
        <v>9.6000000000000014</v>
      </c>
      <c r="J45" s="536" t="s">
        <v>408</v>
      </c>
    </row>
    <row r="46" spans="1:10" s="3" customFormat="1" ht="13.8" x14ac:dyDescent="0.3">
      <c r="A46" s="30" t="s">
        <v>59</v>
      </c>
      <c r="B46" s="171">
        <v>0</v>
      </c>
      <c r="C46" s="18" t="s">
        <v>283</v>
      </c>
      <c r="D46" s="19">
        <f>+Cotizaciones!I23</f>
        <v>7</v>
      </c>
      <c r="E46" s="117">
        <f>B46*D46</f>
        <v>0</v>
      </c>
      <c r="G46" s="3" t="str">
        <f>+I38</f>
        <v xml:space="preserve">Pulverizacion Post-emergente </v>
      </c>
      <c r="J46" s="3" t="s">
        <v>408</v>
      </c>
    </row>
    <row r="47" spans="1:10" s="3" customFormat="1" ht="13.8" x14ac:dyDescent="0.3">
      <c r="A47" s="30" t="s">
        <v>532</v>
      </c>
      <c r="B47" s="171">
        <v>0.15</v>
      </c>
      <c r="C47" s="18" t="s">
        <v>283</v>
      </c>
      <c r="D47" s="19">
        <f>+Cotizaciones!I50</f>
        <v>80</v>
      </c>
      <c r="E47" s="117">
        <f>B47*D47</f>
        <v>12</v>
      </c>
      <c r="G47" s="3" t="str">
        <f>+I38</f>
        <v xml:space="preserve">Pulverizacion Post-emergente </v>
      </c>
      <c r="J47" s="3" t="s">
        <v>408</v>
      </c>
    </row>
    <row r="48" spans="1:10" s="3" customFormat="1" ht="13.8" x14ac:dyDescent="0.3">
      <c r="A48" s="30"/>
      <c r="B48" s="30"/>
      <c r="C48" s="667" t="s">
        <v>288</v>
      </c>
      <c r="D48" s="667"/>
      <c r="E48" s="176">
        <f>SUM(E38:E47)</f>
        <v>121.56</v>
      </c>
      <c r="F48" s="22">
        <f>E48/E59</f>
        <v>0.10551991736182846</v>
      </c>
      <c r="G48" s="21">
        <f>E48*$B$3</f>
        <v>0</v>
      </c>
    </row>
    <row r="50" spans="1:7" s="3" customFormat="1" ht="13.8" x14ac:dyDescent="0.3">
      <c r="A50" s="10" t="s">
        <v>289</v>
      </c>
      <c r="B50" s="214">
        <v>1</v>
      </c>
      <c r="C50" s="12" t="s">
        <v>290</v>
      </c>
      <c r="D50" s="254">
        <v>110</v>
      </c>
      <c r="E50" s="174">
        <f>+D50*B50</f>
        <v>110</v>
      </c>
      <c r="F50" s="15"/>
    </row>
    <row r="51" spans="1:7" s="3" customFormat="1" ht="13.8" x14ac:dyDescent="0.3">
      <c r="A51" s="35"/>
      <c r="B51" s="36"/>
      <c r="C51" s="667" t="s">
        <v>291</v>
      </c>
      <c r="D51" s="667"/>
      <c r="E51" s="176">
        <f>+E50</f>
        <v>110</v>
      </c>
      <c r="F51" s="22">
        <f>E51/E59</f>
        <v>9.5485282245813832E-2</v>
      </c>
      <c r="G51" s="21">
        <f>E51*$B$3</f>
        <v>0</v>
      </c>
    </row>
    <row r="52" spans="1:7" s="3" customFormat="1" ht="13.8" x14ac:dyDescent="0.3">
      <c r="A52" s="35"/>
      <c r="B52" s="36"/>
      <c r="C52" s="18"/>
      <c r="D52" s="28"/>
      <c r="E52" s="217"/>
    </row>
    <row r="53" spans="1:7" s="3" customFormat="1" ht="13.8" x14ac:dyDescent="0.3">
      <c r="A53" s="10" t="s">
        <v>292</v>
      </c>
      <c r="B53" s="231">
        <v>3</v>
      </c>
      <c r="C53" s="147" t="s">
        <v>241</v>
      </c>
      <c r="D53" s="147">
        <v>25</v>
      </c>
      <c r="E53" s="174">
        <f>D53</f>
        <v>25</v>
      </c>
      <c r="F53" s="15"/>
    </row>
    <row r="54" spans="1:7" s="3" customFormat="1" ht="13.8" x14ac:dyDescent="0.3">
      <c r="A54" s="35"/>
      <c r="B54" s="36"/>
      <c r="C54" s="667" t="s">
        <v>293</v>
      </c>
      <c r="D54" s="667"/>
      <c r="E54" s="176">
        <f>E53</f>
        <v>25</v>
      </c>
      <c r="F54" s="22">
        <f>E54/E59</f>
        <v>2.1701200510412237E-2</v>
      </c>
      <c r="G54" s="21">
        <f>E54*$B$3</f>
        <v>0</v>
      </c>
    </row>
    <row r="55" spans="1:7" s="3" customFormat="1" ht="13.8" x14ac:dyDescent="0.3">
      <c r="A55" s="35"/>
      <c r="B55" s="36"/>
      <c r="C55" s="7"/>
      <c r="D55" s="7"/>
      <c r="E55" s="227"/>
    </row>
    <row r="56" spans="1:7" s="3" customFormat="1" ht="13.8" x14ac:dyDescent="0.3">
      <c r="A56" s="10" t="s">
        <v>294</v>
      </c>
      <c r="B56" s="214">
        <v>0</v>
      </c>
      <c r="C56" s="12" t="s">
        <v>295</v>
      </c>
      <c r="D56" s="218">
        <v>0</v>
      </c>
      <c r="E56" s="175">
        <v>0</v>
      </c>
      <c r="F56" s="15"/>
    </row>
    <row r="57" spans="1:7" s="3" customFormat="1" ht="13.8" x14ac:dyDescent="0.3">
      <c r="A57" s="30"/>
      <c r="B57" s="27"/>
      <c r="C57" s="667" t="s">
        <v>296</v>
      </c>
      <c r="D57" s="667"/>
      <c r="E57" s="176">
        <v>0</v>
      </c>
      <c r="G57" s="21">
        <f>E57*$B$3</f>
        <v>0</v>
      </c>
    </row>
    <row r="58" spans="1:7" s="3" customFormat="1" ht="13.8" x14ac:dyDescent="0.3">
      <c r="A58" s="30"/>
      <c r="B58" s="27"/>
      <c r="C58" s="7"/>
      <c r="D58" s="7"/>
      <c r="E58" s="227"/>
    </row>
    <row r="59" spans="1:7" s="3" customFormat="1" ht="13.8" x14ac:dyDescent="0.3">
      <c r="A59" s="72"/>
      <c r="B59" s="73"/>
      <c r="C59" s="673" t="s">
        <v>317</v>
      </c>
      <c r="D59" s="673"/>
      <c r="E59" s="220">
        <f>E21+E25+E28+E31+E36+E48+E51+E54+E57</f>
        <v>1152.01</v>
      </c>
      <c r="F59" s="75">
        <f>F21+F25+F28+F31+F36+F48+F51+F71+F54</f>
        <v>1</v>
      </c>
      <c r="G59" s="21">
        <f>E59*$B$3</f>
        <v>0</v>
      </c>
    </row>
    <row r="60" spans="1:7" s="3" customFormat="1" ht="13.8" x14ac:dyDescent="0.3">
      <c r="A60" s="30"/>
      <c r="B60" s="30"/>
      <c r="C60" s="18"/>
      <c r="D60" s="28"/>
      <c r="E60" s="28">
        <f>+E59*B3</f>
        <v>0</v>
      </c>
    </row>
    <row r="61" spans="1:7" s="3" customFormat="1" ht="13.8" x14ac:dyDescent="0.3">
      <c r="A61" s="10" t="s">
        <v>300</v>
      </c>
      <c r="B61" s="69"/>
      <c r="C61" s="12"/>
      <c r="D61" s="24"/>
      <c r="E61" s="172"/>
      <c r="F61" s="15"/>
    </row>
    <row r="62" spans="1:7" s="3" customFormat="1" ht="13.8" x14ac:dyDescent="0.3">
      <c r="A62" s="579" t="s">
        <v>301</v>
      </c>
      <c r="B62" s="181">
        <v>0</v>
      </c>
      <c r="C62" s="18" t="s">
        <v>302</v>
      </c>
      <c r="D62" s="145">
        <f>+Cotizaciones!E24/Cotizaciones!M20</f>
        <v>0</v>
      </c>
      <c r="E62" s="146">
        <f>D62*B62*B76</f>
        <v>0</v>
      </c>
    </row>
    <row r="63" spans="1:7" s="3" customFormat="1" ht="13.8" x14ac:dyDescent="0.3">
      <c r="A63" s="213" t="s">
        <v>303</v>
      </c>
      <c r="B63" s="181">
        <v>0</v>
      </c>
      <c r="C63" s="18" t="s">
        <v>355</v>
      </c>
      <c r="D63" s="145">
        <f>+(Cotizaciones!I41/210)</f>
        <v>1.9523809523809523</v>
      </c>
      <c r="E63" s="146">
        <f>D63*B63*B76</f>
        <v>0</v>
      </c>
    </row>
    <row r="64" spans="1:7" s="3" customFormat="1" ht="13.8" x14ac:dyDescent="0.3">
      <c r="A64" s="213" t="s">
        <v>305</v>
      </c>
      <c r="B64" s="181">
        <v>2</v>
      </c>
      <c r="C64" s="18" t="s">
        <v>302</v>
      </c>
      <c r="D64" s="117">
        <v>3</v>
      </c>
      <c r="E64" s="117">
        <f>+D64*B64*$B$76</f>
        <v>51</v>
      </c>
    </row>
    <row r="65" spans="1:12" s="3" customFormat="1" ht="13.8" x14ac:dyDescent="0.3">
      <c r="A65" s="213" t="s">
        <v>393</v>
      </c>
      <c r="B65" s="181">
        <v>0</v>
      </c>
      <c r="C65" s="18" t="s">
        <v>295</v>
      </c>
      <c r="D65" s="276"/>
      <c r="E65" s="117">
        <f>D65</f>
        <v>0</v>
      </c>
    </row>
    <row r="66" spans="1:12" s="3" customFormat="1" ht="13.8" x14ac:dyDescent="0.3">
      <c r="A66" s="213" t="s">
        <v>306</v>
      </c>
      <c r="B66" s="181">
        <v>1</v>
      </c>
      <c r="C66" s="18" t="s">
        <v>302</v>
      </c>
      <c r="D66" s="117">
        <f>Cotizaciones!F35</f>
        <v>5</v>
      </c>
      <c r="E66" s="117">
        <f>+D66*B66*$B$76</f>
        <v>42.5</v>
      </c>
    </row>
    <row r="67" spans="1:12" s="3" customFormat="1" ht="13.8" x14ac:dyDescent="0.3">
      <c r="A67" s="213" t="s">
        <v>83</v>
      </c>
      <c r="B67" s="181">
        <v>1</v>
      </c>
      <c r="C67" s="18" t="s">
        <v>302</v>
      </c>
      <c r="D67" s="117">
        <f>+Cotizaciones!F36</f>
        <v>6.5</v>
      </c>
      <c r="E67" s="117">
        <f>+D67*B67*$B$76</f>
        <v>55.25</v>
      </c>
    </row>
    <row r="68" spans="1:12" s="3" customFormat="1" ht="13.8" x14ac:dyDescent="0.3">
      <c r="A68" s="213" t="s">
        <v>307</v>
      </c>
      <c r="B68" s="181">
        <v>1</v>
      </c>
      <c r="C68" s="18" t="s">
        <v>302</v>
      </c>
      <c r="D68" s="117">
        <f>+Cotizaciones!E5/Cotizaciones!M20</f>
        <v>0.53083472598960413</v>
      </c>
      <c r="E68" s="117">
        <f>+D68*B68*$B$76</f>
        <v>4.5120951709116355</v>
      </c>
    </row>
    <row r="69" spans="1:12" s="3" customFormat="1" ht="13.8" x14ac:dyDescent="0.3">
      <c r="A69" s="213" t="s">
        <v>308</v>
      </c>
      <c r="B69" s="181">
        <v>1</v>
      </c>
      <c r="C69" s="18" t="s">
        <v>302</v>
      </c>
      <c r="D69" s="522">
        <f>+'Cebada SP'!D71</f>
        <v>20</v>
      </c>
      <c r="E69" s="117">
        <f>+D69*B69*$B$76</f>
        <v>170</v>
      </c>
    </row>
    <row r="70" spans="1:12" s="3" customFormat="1" ht="13.8" x14ac:dyDescent="0.3">
      <c r="A70" s="213" t="s">
        <v>309</v>
      </c>
      <c r="B70" s="181">
        <v>1</v>
      </c>
      <c r="C70" s="18" t="s">
        <v>295</v>
      </c>
      <c r="D70" s="146">
        <f>B70%*B76*Cotizaciones!B14</f>
        <v>30.175000000000001</v>
      </c>
      <c r="E70" s="117">
        <f>D70</f>
        <v>30.175000000000001</v>
      </c>
    </row>
    <row r="71" spans="1:12" s="3" customFormat="1" ht="13.8" x14ac:dyDescent="0.3">
      <c r="A71" s="213"/>
      <c r="B71" s="37"/>
      <c r="C71" s="667" t="s">
        <v>310</v>
      </c>
      <c r="D71" s="667"/>
      <c r="E71" s="176">
        <f>SUM(E62:E70)</f>
        <v>353.43709517091162</v>
      </c>
      <c r="F71" s="22"/>
      <c r="G71" s="21">
        <f>E71*$B$3</f>
        <v>0</v>
      </c>
    </row>
    <row r="72" spans="1:12" s="3" customFormat="1" ht="13.8" x14ac:dyDescent="0.3">
      <c r="A72" s="213" t="s">
        <v>356</v>
      </c>
      <c r="B72" s="27"/>
      <c r="C72" s="566"/>
      <c r="D72" s="566"/>
      <c r="E72" s="227">
        <f>+Cotizaciones!B13</f>
        <v>200</v>
      </c>
      <c r="F72" s="567"/>
    </row>
    <row r="73" spans="1:12" s="3" customFormat="1" ht="13.8" x14ac:dyDescent="0.3">
      <c r="A73" s="213" t="s">
        <v>311</v>
      </c>
      <c r="B73" s="30"/>
      <c r="C73" s="18"/>
      <c r="D73" s="28"/>
      <c r="E73" s="227">
        <f>+E71/B76</f>
        <v>41.580834725989604</v>
      </c>
      <c r="F73" s="22">
        <f>+E73/E72</f>
        <v>0.20790417362994801</v>
      </c>
    </row>
    <row r="74" spans="1:12" s="3" customFormat="1" ht="13.8" x14ac:dyDescent="0.3">
      <c r="A74" s="213" t="s">
        <v>312</v>
      </c>
      <c r="D74" s="28"/>
      <c r="E74" s="227">
        <f>+E72-E73</f>
        <v>158.4191652740104</v>
      </c>
    </row>
    <row r="75" spans="1:12" s="3" customFormat="1" thickBot="1" x14ac:dyDescent="0.35">
      <c r="D75" s="28"/>
      <c r="E75" s="39"/>
    </row>
    <row r="76" spans="1:12" s="3" customFormat="1" ht="13.8" x14ac:dyDescent="0.3">
      <c r="A76" s="193" t="s">
        <v>315</v>
      </c>
      <c r="B76" s="580">
        <v>8.5</v>
      </c>
      <c r="C76" s="194" t="s">
        <v>316</v>
      </c>
      <c r="D76" s="33"/>
      <c r="E76" s="33"/>
      <c r="F76" s="33"/>
      <c r="H76" s="661" t="s">
        <v>203</v>
      </c>
      <c r="I76" s="661"/>
      <c r="J76" s="660" t="s">
        <v>299</v>
      </c>
      <c r="K76" s="660"/>
      <c r="L76" s="3" t="s">
        <v>370</v>
      </c>
    </row>
    <row r="77" spans="1:12" s="3" customFormat="1" ht="13.8" x14ac:dyDescent="0.3">
      <c r="A77" s="190" t="s">
        <v>358</v>
      </c>
      <c r="B77" s="528">
        <f>+E74</f>
        <v>158.4191652740104</v>
      </c>
      <c r="C77" s="196" t="s">
        <v>21</v>
      </c>
      <c r="D77" s="33"/>
      <c r="E77" s="33"/>
      <c r="F77" s="33"/>
      <c r="G77" s="3" t="s">
        <v>204</v>
      </c>
      <c r="H77" s="639"/>
      <c r="I77" s="642">
        <f>+H77*B$3</f>
        <v>0</v>
      </c>
      <c r="J77" s="639">
        <f>+E21</f>
        <v>136</v>
      </c>
      <c r="K77" s="644">
        <f>+J77*B$3</f>
        <v>0</v>
      </c>
      <c r="L77" s="639"/>
    </row>
    <row r="78" spans="1:12" s="3" customFormat="1" ht="13.8" x14ac:dyDescent="0.3">
      <c r="A78" s="191" t="s">
        <v>317</v>
      </c>
      <c r="B78" s="195">
        <f>+E59</f>
        <v>1152.01</v>
      </c>
      <c r="C78" s="197" t="s">
        <v>318</v>
      </c>
      <c r="D78" s="183"/>
      <c r="E78" s="183"/>
      <c r="F78" s="183"/>
      <c r="G78" s="3" t="s">
        <v>205</v>
      </c>
      <c r="H78" s="640">
        <v>0</v>
      </c>
      <c r="I78" s="642">
        <f t="shared" ref="I78:I82" si="1">+H78*B$3</f>
        <v>0</v>
      </c>
      <c r="J78" s="639">
        <f>+E25</f>
        <v>108</v>
      </c>
      <c r="K78" s="644">
        <f t="shared" ref="K78:K82" si="2">+J78*B$3</f>
        <v>0</v>
      </c>
      <c r="L78" s="639">
        <f t="shared" ref="L78:L83" si="3">+J78+H78</f>
        <v>108</v>
      </c>
    </row>
    <row r="79" spans="1:12" s="3" customFormat="1" ht="13.8" x14ac:dyDescent="0.3">
      <c r="A79" s="190" t="s">
        <v>322</v>
      </c>
      <c r="B79" s="195">
        <f>+B77*B76</f>
        <v>1346.5629048290884</v>
      </c>
      <c r="C79" s="196" t="s">
        <v>318</v>
      </c>
      <c r="D79" s="28"/>
      <c r="E79" s="30"/>
      <c r="G79" s="3" t="s">
        <v>206</v>
      </c>
      <c r="H79" s="639">
        <f>+E28</f>
        <v>426</v>
      </c>
      <c r="I79" s="642">
        <f t="shared" si="1"/>
        <v>0</v>
      </c>
      <c r="J79" s="639"/>
      <c r="K79" s="644">
        <f t="shared" si="2"/>
        <v>0</v>
      </c>
      <c r="L79" s="639">
        <f t="shared" si="3"/>
        <v>426</v>
      </c>
    </row>
    <row r="80" spans="1:12" s="3" customFormat="1" ht="13.8" x14ac:dyDescent="0.3">
      <c r="A80" s="191" t="s">
        <v>321</v>
      </c>
      <c r="B80" s="195">
        <f>B79-B78</f>
        <v>194.55290482908845</v>
      </c>
      <c r="C80" s="197" t="s">
        <v>318</v>
      </c>
      <c r="D80" s="28"/>
      <c r="E80" s="30"/>
      <c r="G80" s="3" t="s">
        <v>207</v>
      </c>
      <c r="H80" s="640">
        <f>+E31</f>
        <v>30</v>
      </c>
      <c r="I80" s="642">
        <f t="shared" si="1"/>
        <v>0</v>
      </c>
      <c r="J80" s="639"/>
      <c r="K80" s="644">
        <f t="shared" si="2"/>
        <v>0</v>
      </c>
      <c r="L80" s="639">
        <f t="shared" si="3"/>
        <v>30</v>
      </c>
    </row>
    <row r="81" spans="1:12" s="3" customFormat="1" ht="13.8" x14ac:dyDescent="0.3">
      <c r="A81" s="191" t="s">
        <v>325</v>
      </c>
      <c r="B81" s="557">
        <f>B80/B78</f>
        <v>0.16888126390316791</v>
      </c>
      <c r="C81" s="197"/>
      <c r="D81" s="28"/>
      <c r="E81" s="30"/>
      <c r="G81" s="3" t="s">
        <v>140</v>
      </c>
      <c r="H81" s="640">
        <f>+E36</f>
        <v>195.45</v>
      </c>
      <c r="I81" s="642">
        <f t="shared" si="1"/>
        <v>0</v>
      </c>
      <c r="J81" s="639">
        <v>0</v>
      </c>
      <c r="K81" s="644">
        <f t="shared" si="2"/>
        <v>0</v>
      </c>
      <c r="L81" s="639">
        <f t="shared" si="3"/>
        <v>195.45</v>
      </c>
    </row>
    <row r="82" spans="1:12" s="3" customFormat="1" ht="13.8" x14ac:dyDescent="0.3">
      <c r="A82" s="190" t="s">
        <v>326</v>
      </c>
      <c r="B82" s="282">
        <f>+B78/B77</f>
        <v>7.2719105545558262</v>
      </c>
      <c r="C82" s="197"/>
      <c r="D82" s="28"/>
      <c r="E82" s="30"/>
      <c r="G82" s="3" t="s">
        <v>118</v>
      </c>
      <c r="H82" s="639"/>
      <c r="I82" s="642">
        <f t="shared" si="1"/>
        <v>0</v>
      </c>
      <c r="J82" s="640">
        <f>+E48</f>
        <v>121.56</v>
      </c>
      <c r="K82" s="644">
        <f t="shared" si="2"/>
        <v>0</v>
      </c>
      <c r="L82" s="639">
        <f t="shared" si="3"/>
        <v>121.56</v>
      </c>
    </row>
    <row r="83" spans="1:12" s="3" customFormat="1" ht="13.8" x14ac:dyDescent="0.3">
      <c r="A83" s="191" t="s">
        <v>164</v>
      </c>
      <c r="B83" s="278">
        <f>+E48+E36+E31+E28+E25+E21</f>
        <v>1017.01</v>
      </c>
      <c r="C83" s="197" t="s">
        <v>318</v>
      </c>
      <c r="D83" s="277"/>
      <c r="E83" s="30"/>
      <c r="H83" s="639"/>
      <c r="I83" s="642"/>
      <c r="J83" s="640"/>
      <c r="K83" s="644"/>
      <c r="L83" s="639">
        <f t="shared" si="3"/>
        <v>0</v>
      </c>
    </row>
    <row r="84" spans="1:12" s="3" customFormat="1" thickBot="1" x14ac:dyDescent="0.35">
      <c r="A84" s="192" t="s">
        <v>327</v>
      </c>
      <c r="B84" s="558">
        <f>B80/B83</f>
        <v>0.1912989103638002</v>
      </c>
      <c r="C84" s="199"/>
      <c r="D84" s="28"/>
      <c r="E84" s="30"/>
      <c r="G84" s="3" t="s">
        <v>199</v>
      </c>
      <c r="H84" s="640"/>
      <c r="I84" s="642"/>
      <c r="J84" s="639"/>
      <c r="K84" s="644"/>
      <c r="L84" s="639"/>
    </row>
    <row r="85" spans="1:12" s="3" customFormat="1" ht="13.8" x14ac:dyDescent="0.3">
      <c r="A85" s="18"/>
      <c r="B85" s="41"/>
      <c r="C85" s="41"/>
      <c r="D85" s="28"/>
      <c r="E85" s="30"/>
      <c r="G85" s="591"/>
      <c r="H85" s="641">
        <f>SUM(H77:H84)</f>
        <v>651.45000000000005</v>
      </c>
      <c r="I85" s="643">
        <f t="shared" ref="I85:K85" si="4">SUM(I77:I84)</f>
        <v>0</v>
      </c>
      <c r="J85" s="641">
        <f t="shared" si="4"/>
        <v>365.56</v>
      </c>
      <c r="K85" s="645">
        <f t="shared" si="4"/>
        <v>0</v>
      </c>
      <c r="L85" s="639">
        <f>+J85+H85</f>
        <v>1017.01</v>
      </c>
    </row>
    <row r="86" spans="1:12" s="3" customFormat="1" ht="13.8" x14ac:dyDescent="0.3">
      <c r="A86" s="18"/>
      <c r="B86" s="41"/>
      <c r="C86" s="41"/>
      <c r="D86" s="28"/>
      <c r="E86" s="30"/>
      <c r="H86" s="663">
        <f>+H85/L85</f>
        <v>0.64055417350861843</v>
      </c>
      <c r="I86" s="663"/>
      <c r="J86" s="663">
        <f>+J85/L85</f>
        <v>0.35944582649138163</v>
      </c>
      <c r="K86" s="663"/>
      <c r="L86" s="92"/>
    </row>
    <row r="87" spans="1:12" s="3" customFormat="1" ht="13.8" x14ac:dyDescent="0.3">
      <c r="A87" s="668" t="s">
        <v>317</v>
      </c>
      <c r="B87" s="668"/>
      <c r="C87" s="42">
        <f>E59</f>
        <v>1152.01</v>
      </c>
      <c r="D87" s="6"/>
    </row>
    <row r="88" spans="1:12" s="3" customFormat="1" ht="13.8" x14ac:dyDescent="0.3">
      <c r="A88" s="762" t="s">
        <v>395</v>
      </c>
      <c r="B88" s="762"/>
      <c r="C88" s="762"/>
      <c r="D88" s="762"/>
      <c r="E88" s="762"/>
      <c r="F88" s="762"/>
      <c r="G88" s="762"/>
      <c r="H88" s="762"/>
    </row>
    <row r="89" spans="1:12" s="3" customFormat="1" ht="13.8" x14ac:dyDescent="0.3">
      <c r="A89" s="43" t="s">
        <v>332</v>
      </c>
      <c r="B89" s="44">
        <f>E89-1.5</f>
        <v>7</v>
      </c>
      <c r="C89" s="44">
        <f>E89-1</f>
        <v>7.5</v>
      </c>
      <c r="D89" s="44">
        <f>E89-0.5</f>
        <v>8</v>
      </c>
      <c r="E89" s="45">
        <f>B76</f>
        <v>8.5</v>
      </c>
      <c r="F89" s="44">
        <f>E89+0.5</f>
        <v>9</v>
      </c>
      <c r="G89" s="44">
        <f>E89+0.8</f>
        <v>9.3000000000000007</v>
      </c>
      <c r="H89" s="46">
        <f>E89+1.2</f>
        <v>9.6999999999999993</v>
      </c>
    </row>
    <row r="90" spans="1:12" s="3" customFormat="1" ht="13.8" x14ac:dyDescent="0.3">
      <c r="A90" s="47">
        <f>A91-10</f>
        <v>128.4191652740104</v>
      </c>
      <c r="B90" s="48">
        <f>B99/C87*100</f>
        <v>-21.968198460250107</v>
      </c>
      <c r="C90" s="48">
        <f>C99/C87*100</f>
        <v>-16.394498350267963</v>
      </c>
      <c r="D90" s="48">
        <f>D99/C87*100</f>
        <v>-10.820798240285832</v>
      </c>
      <c r="E90" s="49">
        <f>E99/C87*100</f>
        <v>-5.2470981303036917</v>
      </c>
      <c r="F90" s="48">
        <f>F99/C87*100</f>
        <v>0.32660197967843069</v>
      </c>
      <c r="G90" s="48">
        <f>G99/C87*100</f>
        <v>3.6708220456677356</v>
      </c>
      <c r="H90" s="50">
        <f>H99/C87*100</f>
        <v>8.1297821336534284</v>
      </c>
    </row>
    <row r="91" spans="1:12" s="3" customFormat="1" ht="13.8" x14ac:dyDescent="0.3">
      <c r="A91" s="47">
        <f>A92-10</f>
        <v>138.4191652740104</v>
      </c>
      <c r="B91" s="48">
        <f>B100/C87*100</f>
        <v>-15.891862317334679</v>
      </c>
      <c r="C91" s="48">
        <f>C100/C87*100</f>
        <v>-9.8841381971443028</v>
      </c>
      <c r="D91" s="48">
        <f>D100/C87*100</f>
        <v>-3.876414076953917</v>
      </c>
      <c r="E91" s="49">
        <f>E100/C87*100</f>
        <v>2.1313100432364691</v>
      </c>
      <c r="F91" s="48">
        <f>F100/C87*100</f>
        <v>8.1390341634268353</v>
      </c>
      <c r="G91" s="48">
        <f>G100/C87*100</f>
        <v>11.743668635541086</v>
      </c>
      <c r="H91" s="50">
        <f>H100/C87*100</f>
        <v>16.549847931693375</v>
      </c>
    </row>
    <row r="92" spans="1:12" s="3" customFormat="1" ht="13.8" x14ac:dyDescent="0.3">
      <c r="A92" s="47">
        <f>A93-10</f>
        <v>148.4191652740104</v>
      </c>
      <c r="B92" s="48">
        <f>B101/C87*100</f>
        <v>-9.8155261744192437</v>
      </c>
      <c r="C92" s="48">
        <f>C101/C87*100</f>
        <v>-3.3737780440206326</v>
      </c>
      <c r="D92" s="48">
        <f>D101/C87*100</f>
        <v>3.0679700863779984</v>
      </c>
      <c r="E92" s="49">
        <f>E101/C87*100</f>
        <v>9.5097182167766281</v>
      </c>
      <c r="F92" s="48">
        <f>F101/C87*100</f>
        <v>15.951466347175241</v>
      </c>
      <c r="G92" s="48">
        <f>G101/C87*100</f>
        <v>19.816515225414438</v>
      </c>
      <c r="H92" s="50">
        <f>H101/C87*100</f>
        <v>24.969913729733303</v>
      </c>
    </row>
    <row r="93" spans="1:12" s="3" customFormat="1" ht="13.8" x14ac:dyDescent="0.3">
      <c r="A93" s="51">
        <f>B77</f>
        <v>158.4191652740104</v>
      </c>
      <c r="B93" s="52">
        <f>B102/C87*100</f>
        <v>-3.739190031503818</v>
      </c>
      <c r="C93" s="53">
        <f>C102/C87*100</f>
        <v>3.1365821091030379</v>
      </c>
      <c r="D93" s="53">
        <f>D102/C87*100</f>
        <v>10.012354249709913</v>
      </c>
      <c r="E93" s="54">
        <f>E102/C87*100</f>
        <v>16.888126390316792</v>
      </c>
      <c r="F93" s="53">
        <f>F102/C87*100</f>
        <v>23.763898530923647</v>
      </c>
      <c r="G93" s="53">
        <f>G102/C87*100</f>
        <v>27.889361815287788</v>
      </c>
      <c r="H93" s="55">
        <f>H102/C87*100</f>
        <v>33.389979527773249</v>
      </c>
    </row>
    <row r="94" spans="1:12" s="3" customFormat="1" ht="13.8" x14ac:dyDescent="0.3">
      <c r="A94" s="47">
        <f>A93+10</f>
        <v>168.4191652740104</v>
      </c>
      <c r="B94" s="56">
        <f>B103/C87*100</f>
        <v>2.3371461114116081</v>
      </c>
      <c r="C94" s="56">
        <f>C103/C87*100</f>
        <v>9.6469422622267089</v>
      </c>
      <c r="D94" s="56">
        <f>D103/C87*100</f>
        <v>16.95673841304183</v>
      </c>
      <c r="E94" s="57">
        <f>E103/C87*100</f>
        <v>24.266534563856951</v>
      </c>
      <c r="F94" s="56">
        <f>F103/C87*100</f>
        <v>31.576330714672054</v>
      </c>
      <c r="G94" s="56">
        <f>G103/C87*100</f>
        <v>35.962208405161142</v>
      </c>
      <c r="H94" s="58">
        <f>H103/C87*100</f>
        <v>41.810045325813199</v>
      </c>
    </row>
    <row r="95" spans="1:12" s="3" customFormat="1" ht="13.8" x14ac:dyDescent="0.3">
      <c r="A95" s="47">
        <f>A94+10</f>
        <v>178.4191652740104</v>
      </c>
      <c r="B95" s="56">
        <f>B104/C87*100</f>
        <v>8.4134822543270342</v>
      </c>
      <c r="C95" s="56">
        <f>C104/C87*100</f>
        <v>16.157302415350379</v>
      </c>
      <c r="D95" s="56">
        <f>D104/C87*100</f>
        <v>23.901122576373744</v>
      </c>
      <c r="E95" s="57">
        <f>E104/C87*100</f>
        <v>31.644942737397109</v>
      </c>
      <c r="F95" s="56">
        <f>F104/C87*100</f>
        <v>39.388762898420453</v>
      </c>
      <c r="G95" s="56">
        <f>G104/C87*100</f>
        <v>44.035054995034493</v>
      </c>
      <c r="H95" s="58">
        <f>H104/C87*100</f>
        <v>50.230111123853149</v>
      </c>
    </row>
    <row r="96" spans="1:12" s="3" customFormat="1" ht="13.8" x14ac:dyDescent="0.3">
      <c r="A96" s="47">
        <f>A95+10</f>
        <v>188.4191652740104</v>
      </c>
      <c r="B96" s="56">
        <f>B105/C87*100</f>
        <v>14.489818397242459</v>
      </c>
      <c r="C96" s="56">
        <f>C105/C87*100</f>
        <v>22.66766256847405</v>
      </c>
      <c r="D96" s="56">
        <f>D105/C87*100</f>
        <v>30.845506739705659</v>
      </c>
      <c r="E96" s="57">
        <f>E105/C87*100</f>
        <v>39.023350910937268</v>
      </c>
      <c r="F96" s="56">
        <f>F105/C87*100</f>
        <v>47.201195082168859</v>
      </c>
      <c r="G96" s="56">
        <f>G105/C87*100</f>
        <v>52.107901584907843</v>
      </c>
      <c r="H96" s="58">
        <f>H105/C87*100</f>
        <v>58.650176921893092</v>
      </c>
    </row>
    <row r="97" spans="1:8" s="3" customFormat="1" ht="13.8" x14ac:dyDescent="0.3">
      <c r="A97" s="669" t="s">
        <v>396</v>
      </c>
      <c r="B97" s="669"/>
      <c r="C97" s="669"/>
      <c r="D97" s="669"/>
      <c r="E97" s="669"/>
      <c r="F97" s="669"/>
      <c r="G97" s="669"/>
      <c r="H97" s="669"/>
    </row>
    <row r="98" spans="1:8" s="3" customFormat="1" ht="13.8" x14ac:dyDescent="0.3">
      <c r="A98" s="43" t="s">
        <v>332</v>
      </c>
      <c r="B98" s="44">
        <f>E98-1.5</f>
        <v>7</v>
      </c>
      <c r="C98" s="44">
        <f>E98-1</f>
        <v>7.5</v>
      </c>
      <c r="D98" s="44">
        <f>E98-0.5</f>
        <v>8</v>
      </c>
      <c r="E98" s="45">
        <f>B76</f>
        <v>8.5</v>
      </c>
      <c r="F98" s="44">
        <f>E98+0.5</f>
        <v>9</v>
      </c>
      <c r="G98" s="44">
        <f>E98+0.8</f>
        <v>9.3000000000000007</v>
      </c>
      <c r="H98" s="46">
        <f>E98+1.2</f>
        <v>9.6999999999999993</v>
      </c>
    </row>
    <row r="99" spans="1:8" s="3" customFormat="1" x14ac:dyDescent="0.3">
      <c r="A99" s="47">
        <f>A100-10</f>
        <v>128.4191652740104</v>
      </c>
      <c r="B99" s="420">
        <f>(B98*A99)-C87</f>
        <v>-253.07584308192725</v>
      </c>
      <c r="C99" s="420">
        <f>(C98*A99)-C87</f>
        <v>-188.86626044492198</v>
      </c>
      <c r="D99" s="420">
        <f>(D98*A99)-C87</f>
        <v>-124.65667780791682</v>
      </c>
      <c r="E99" s="420">
        <f>(E98*A99)-C87</f>
        <v>-60.447095170911552</v>
      </c>
      <c r="F99" s="420">
        <f>(F98*A99)-C87</f>
        <v>3.7624874660934893</v>
      </c>
      <c r="G99" s="420">
        <f>(G98*A99)-C87</f>
        <v>42.288237048296878</v>
      </c>
      <c r="H99" s="420">
        <f>(H98*A99)-C87</f>
        <v>93.655903157900866</v>
      </c>
    </row>
    <row r="100" spans="1:8" s="3" customFormat="1" x14ac:dyDescent="0.3">
      <c r="A100" s="47">
        <f>A101-10</f>
        <v>138.4191652740104</v>
      </c>
      <c r="B100" s="420">
        <f>(B98*A100)-C87</f>
        <v>-183.07584308192725</v>
      </c>
      <c r="C100" s="420">
        <f>(C98*A100)-C87</f>
        <v>-113.86626044492209</v>
      </c>
      <c r="D100" s="420">
        <f>(D98*A100)-C87</f>
        <v>-44.656677807916822</v>
      </c>
      <c r="E100" s="420">
        <f>(E98*A100)-C87</f>
        <v>24.552904829088448</v>
      </c>
      <c r="F100" s="420">
        <f>(F98*A100)-C87</f>
        <v>93.762487466093489</v>
      </c>
      <c r="G100" s="420">
        <f>(G98*A100)-C87</f>
        <v>135.28823704829688</v>
      </c>
      <c r="H100" s="420">
        <f>(H98*A100)-C87</f>
        <v>190.65590315790087</v>
      </c>
    </row>
    <row r="101" spans="1:8" s="3" customFormat="1" x14ac:dyDescent="0.3">
      <c r="A101" s="47">
        <f>A102-10</f>
        <v>148.4191652740104</v>
      </c>
      <c r="B101" s="420">
        <f>(A101*B98)-C87</f>
        <v>-113.07584308192713</v>
      </c>
      <c r="C101" s="420">
        <f>(C98*A101)-C87</f>
        <v>-38.866260444922091</v>
      </c>
      <c r="D101" s="420">
        <f>(D98*A101)-C87</f>
        <v>35.343322192083178</v>
      </c>
      <c r="E101" s="420">
        <f>(E98*A101)-C87</f>
        <v>109.55290482908845</v>
      </c>
      <c r="F101" s="420">
        <f>(F98*A101)-C87</f>
        <v>183.76248746609349</v>
      </c>
      <c r="G101" s="420">
        <f>(G98*A101)-C87</f>
        <v>228.28823704829688</v>
      </c>
      <c r="H101" s="420">
        <f>(H98*A101)-C87</f>
        <v>287.65590315790064</v>
      </c>
    </row>
    <row r="102" spans="1:8" s="3" customFormat="1" x14ac:dyDescent="0.3">
      <c r="A102" s="51">
        <f>B77</f>
        <v>158.4191652740104</v>
      </c>
      <c r="B102" s="420">
        <f>(A102*B98)-C87</f>
        <v>-43.075843081927133</v>
      </c>
      <c r="C102" s="420">
        <f>(A102*C98)-C87</f>
        <v>36.133739555077909</v>
      </c>
      <c r="D102" s="420">
        <f>(D98*A102)-C87</f>
        <v>115.34332219208318</v>
      </c>
      <c r="E102" s="420">
        <f>(A102*E98)-C87</f>
        <v>194.55290482908845</v>
      </c>
      <c r="F102" s="420">
        <f>(A102*F98)-C87</f>
        <v>273.76248746609349</v>
      </c>
      <c r="G102" s="420">
        <f>(G98*A102)-C87</f>
        <v>321.28823704829688</v>
      </c>
      <c r="H102" s="420">
        <f>(H98*A102)-C87</f>
        <v>384.65590315790064</v>
      </c>
    </row>
    <row r="103" spans="1:8" s="3" customFormat="1" x14ac:dyDescent="0.3">
      <c r="A103" s="47">
        <f>A102+10</f>
        <v>168.4191652740104</v>
      </c>
      <c r="B103" s="420">
        <f>(A103*B98)-C87</f>
        <v>26.924156918072867</v>
      </c>
      <c r="C103" s="420">
        <f>(C98*A103)-C87</f>
        <v>111.13373955507791</v>
      </c>
      <c r="D103" s="420">
        <f>(D98*A103)-C87</f>
        <v>195.34332219208318</v>
      </c>
      <c r="E103" s="420">
        <f>(E98*A103)-C87</f>
        <v>279.55290482908845</v>
      </c>
      <c r="F103" s="420">
        <f>(F98*A103)-C87</f>
        <v>363.76248746609349</v>
      </c>
      <c r="G103" s="420">
        <f>(G98*A103)-C87</f>
        <v>414.28823704829688</v>
      </c>
      <c r="H103" s="420">
        <f>(H98*A103)-C87</f>
        <v>481.65590315790064</v>
      </c>
    </row>
    <row r="104" spans="1:8" s="3" customFormat="1" x14ac:dyDescent="0.3">
      <c r="A104" s="47">
        <f>A103+10</f>
        <v>178.4191652740104</v>
      </c>
      <c r="B104" s="420">
        <f>(A104*B98)-C87</f>
        <v>96.924156918072867</v>
      </c>
      <c r="C104" s="420">
        <f>(C98*A104)-C87</f>
        <v>186.13373955507791</v>
      </c>
      <c r="D104" s="420">
        <f>(D98*A104)-C87</f>
        <v>275.34332219208318</v>
      </c>
      <c r="E104" s="420">
        <f>(E98*A104)-C87</f>
        <v>364.55290482908845</v>
      </c>
      <c r="F104" s="420">
        <f>(F98*A104)-C87</f>
        <v>453.76248746609349</v>
      </c>
      <c r="G104" s="420">
        <f>(G98*A104)-C87</f>
        <v>507.28823704829688</v>
      </c>
      <c r="H104" s="420">
        <f>(H98*A104)-C87</f>
        <v>578.65590315790064</v>
      </c>
    </row>
    <row r="105" spans="1:8" s="3" customFormat="1" x14ac:dyDescent="0.3">
      <c r="A105" s="59">
        <f>A104+10</f>
        <v>188.4191652740104</v>
      </c>
      <c r="B105" s="420">
        <f>(B98*A105)-C87</f>
        <v>166.92415691807287</v>
      </c>
      <c r="C105" s="420">
        <f>(C98*A105)-C87</f>
        <v>261.13373955507791</v>
      </c>
      <c r="D105" s="420">
        <f>(D98*A105)-C87</f>
        <v>355.34332219208318</v>
      </c>
      <c r="E105" s="420">
        <f>(E98*A105)-C87</f>
        <v>449.55290482908845</v>
      </c>
      <c r="F105" s="420">
        <f>(F98*A105)-C87</f>
        <v>543.76248746609349</v>
      </c>
      <c r="G105" s="420">
        <f>(G98*A105)-C87</f>
        <v>600.28823704829688</v>
      </c>
      <c r="H105" s="420">
        <f>(A105*H98)-C87</f>
        <v>675.65590315790064</v>
      </c>
    </row>
  </sheetData>
  <mergeCells count="19">
    <mergeCell ref="A87:B87"/>
    <mergeCell ref="A88:H88"/>
    <mergeCell ref="A97:H97"/>
    <mergeCell ref="C51:D51"/>
    <mergeCell ref="C71:D71"/>
    <mergeCell ref="C54:D54"/>
    <mergeCell ref="C57:D57"/>
    <mergeCell ref="C59:D59"/>
    <mergeCell ref="J86:K86"/>
    <mergeCell ref="H86:I86"/>
    <mergeCell ref="H76:I76"/>
    <mergeCell ref="J76:K76"/>
    <mergeCell ref="A1:H1"/>
    <mergeCell ref="C21:D21"/>
    <mergeCell ref="C25:D25"/>
    <mergeCell ref="C28:D28"/>
    <mergeCell ref="C31:D31"/>
    <mergeCell ref="C36:D36"/>
    <mergeCell ref="C48:D48"/>
  </mergeCells>
  <pageMargins left="0.78749999999999998" right="0.78749999999999998" top="1.0249999999999999" bottom="1.0249999999999999" header="0.78749999999999998" footer="0.78749999999999998"/>
  <pageSetup paperSize="9" scale="60" firstPageNumber="0" orientation="portrait" horizontalDpi="300" verticalDpi="300" r:id="rId1"/>
  <headerFooter alignWithMargins="0">
    <oddHeader>&amp;C&amp;A</oddHeader>
    <oddFooter>&amp;CPágina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4"/>
  <sheetViews>
    <sheetView showGridLines="0" topLeftCell="A66" zoomScale="95" zoomScaleNormal="95" workbookViewId="0">
      <selection activeCell="E79" sqref="E79"/>
    </sheetView>
  </sheetViews>
  <sheetFormatPr baseColWidth="10" defaultColWidth="10.6640625" defaultRowHeight="14.4" x14ac:dyDescent="0.3"/>
  <cols>
    <col min="1" max="1" width="27.88671875" style="1" customWidth="1"/>
    <col min="2" max="2" width="10.5546875" style="1" bestFit="1" customWidth="1"/>
    <col min="3" max="3" width="12" style="1" bestFit="1" customWidth="1"/>
    <col min="4" max="4" width="14.33203125" style="2" bestFit="1" customWidth="1"/>
    <col min="5" max="5" width="10.5546875" style="1" bestFit="1" customWidth="1"/>
    <col min="6" max="6" width="8.109375" style="1" bestFit="1" customWidth="1"/>
    <col min="7" max="7" width="29.33203125" style="1" bestFit="1" customWidth="1"/>
    <col min="8" max="8" width="8.33203125" style="1" bestFit="1" customWidth="1"/>
    <col min="9" max="10" width="11.5546875" style="1" customWidth="1"/>
    <col min="11" max="11" width="8.88671875" style="1" customWidth="1"/>
    <col min="12" max="16384" width="10.6640625" style="1"/>
  </cols>
  <sheetData>
    <row r="1" spans="1:10" s="3" customFormat="1" ht="21.6" thickBot="1" x14ac:dyDescent="0.45">
      <c r="A1" s="664" t="s">
        <v>409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G7" s="10"/>
      <c r="H7" s="11"/>
      <c r="I7" s="12"/>
      <c r="J7" s="13"/>
    </row>
    <row r="8" spans="1:10" s="3" customFormat="1" ht="13.8" x14ac:dyDescent="0.3">
      <c r="A8" s="225"/>
      <c r="B8" s="87"/>
      <c r="C8" s="18"/>
      <c r="D8" s="88"/>
      <c r="E8" s="89"/>
    </row>
    <row r="9" spans="1:10" s="3" customFormat="1" ht="13.8" x14ac:dyDescent="0.3">
      <c r="A9" s="209" t="s">
        <v>246</v>
      </c>
      <c r="B9" s="169">
        <v>0</v>
      </c>
      <c r="C9" s="18" t="s">
        <v>247</v>
      </c>
      <c r="D9" s="117">
        <f>+'Maiz SP'!D6</f>
        <v>35</v>
      </c>
      <c r="E9" s="146">
        <f t="shared" ref="E9:E20" si="0">B9*D9</f>
        <v>0</v>
      </c>
      <c r="H9" s="3" t="s">
        <v>410</v>
      </c>
      <c r="J9" s="3" t="s">
        <v>256</v>
      </c>
    </row>
    <row r="10" spans="1:10" s="3" customFormat="1" ht="13.8" x14ac:dyDescent="0.3">
      <c r="A10" s="209" t="s">
        <v>250</v>
      </c>
      <c r="B10" s="169">
        <v>0</v>
      </c>
      <c r="C10" s="18" t="s">
        <v>247</v>
      </c>
      <c r="D10" s="117">
        <v>8</v>
      </c>
      <c r="E10" s="146">
        <f t="shared" si="0"/>
        <v>0</v>
      </c>
    </row>
    <row r="11" spans="1:10" s="3" customFormat="1" ht="13.8" x14ac:dyDescent="0.3">
      <c r="A11" s="209" t="s">
        <v>251</v>
      </c>
      <c r="B11" s="169">
        <v>3</v>
      </c>
      <c r="C11" s="18" t="s">
        <v>247</v>
      </c>
      <c r="D11" s="522">
        <v>6.5</v>
      </c>
      <c r="E11" s="146">
        <f t="shared" si="0"/>
        <v>19.5</v>
      </c>
      <c r="G11" s="93">
        <v>41062</v>
      </c>
      <c r="H11" s="93">
        <v>41154</v>
      </c>
      <c r="J11" s="3" t="s">
        <v>285</v>
      </c>
    </row>
    <row r="12" spans="1:10" s="3" customFormat="1" ht="13.8" x14ac:dyDescent="0.3">
      <c r="A12" s="209" t="s">
        <v>345</v>
      </c>
      <c r="B12" s="169">
        <v>1</v>
      </c>
      <c r="C12" s="18" t="s">
        <v>247</v>
      </c>
      <c r="D12" s="522">
        <v>53</v>
      </c>
      <c r="E12" s="146">
        <f t="shared" si="0"/>
        <v>53</v>
      </c>
      <c r="G12" s="93">
        <v>41184</v>
      </c>
      <c r="J12" s="3" t="s">
        <v>261</v>
      </c>
    </row>
    <row r="13" spans="1:10" s="3" customFormat="1" ht="13.8" x14ac:dyDescent="0.3">
      <c r="A13" s="209" t="s">
        <v>411</v>
      </c>
      <c r="B13" s="169">
        <v>1</v>
      </c>
      <c r="C13" s="18" t="s">
        <v>247</v>
      </c>
      <c r="D13" s="522">
        <v>6.5</v>
      </c>
      <c r="E13" s="146">
        <f t="shared" si="0"/>
        <v>6.5</v>
      </c>
      <c r="G13" s="93">
        <v>41215</v>
      </c>
      <c r="J13" s="3" t="s">
        <v>261</v>
      </c>
    </row>
    <row r="14" spans="1:10" s="3" customFormat="1" ht="13.8" x14ac:dyDescent="0.3">
      <c r="A14" s="209" t="s">
        <v>385</v>
      </c>
      <c r="B14" s="169">
        <v>1</v>
      </c>
      <c r="C14" s="18" t="s">
        <v>247</v>
      </c>
      <c r="D14" s="522">
        <v>6.5</v>
      </c>
      <c r="E14" s="146">
        <f t="shared" si="0"/>
        <v>6.5</v>
      </c>
      <c r="J14" s="536" t="s">
        <v>261</v>
      </c>
    </row>
    <row r="15" spans="1:10" s="3" customFormat="1" ht="13.8" x14ac:dyDescent="0.3">
      <c r="A15" s="209" t="s">
        <v>257</v>
      </c>
      <c r="B15" s="169">
        <v>0</v>
      </c>
      <c r="C15" s="18" t="s">
        <v>247</v>
      </c>
      <c r="D15" s="117">
        <f>+D11</f>
        <v>6.5</v>
      </c>
      <c r="E15" s="146">
        <f t="shared" si="0"/>
        <v>0</v>
      </c>
      <c r="J15" s="536" t="s">
        <v>261</v>
      </c>
    </row>
    <row r="16" spans="1:10" s="3" customFormat="1" ht="13.8" x14ac:dyDescent="0.3">
      <c r="A16" s="209" t="s">
        <v>386</v>
      </c>
      <c r="B16" s="169">
        <v>0</v>
      </c>
      <c r="C16" s="18" t="s">
        <v>247</v>
      </c>
      <c r="D16" s="117">
        <v>12</v>
      </c>
      <c r="E16" s="146">
        <f t="shared" si="0"/>
        <v>0</v>
      </c>
      <c r="G16" s="93">
        <v>41214</v>
      </c>
      <c r="J16" s="3" t="s">
        <v>276</v>
      </c>
    </row>
    <row r="17" spans="1:10" s="3" customFormat="1" ht="13.8" x14ac:dyDescent="0.3">
      <c r="A17" s="209" t="s">
        <v>387</v>
      </c>
      <c r="B17" s="169">
        <v>0</v>
      </c>
      <c r="C17" s="18" t="s">
        <v>247</v>
      </c>
      <c r="D17" s="117">
        <f>Cotizaciones!F17</f>
        <v>5</v>
      </c>
      <c r="E17" s="146">
        <f t="shared" si="0"/>
        <v>0</v>
      </c>
      <c r="J17" s="3" t="s">
        <v>268</v>
      </c>
    </row>
    <row r="18" spans="1:10" s="3" customFormat="1" ht="13.8" x14ac:dyDescent="0.3">
      <c r="A18" s="209" t="s">
        <v>388</v>
      </c>
      <c r="B18" s="169">
        <v>0.5</v>
      </c>
      <c r="C18" s="18" t="s">
        <v>247</v>
      </c>
      <c r="D18" s="117">
        <f>Cotizaciones!F16</f>
        <v>13</v>
      </c>
      <c r="E18" s="146">
        <f t="shared" si="0"/>
        <v>6.5</v>
      </c>
      <c r="G18" s="93">
        <v>41245</v>
      </c>
      <c r="J18" s="3" t="s">
        <v>383</v>
      </c>
    </row>
    <row r="19" spans="1:10" s="3" customFormat="1" ht="13.8" x14ac:dyDescent="0.3">
      <c r="A19" s="209" t="s">
        <v>262</v>
      </c>
      <c r="B19" s="169">
        <v>0</v>
      </c>
      <c r="C19" s="18" t="s">
        <v>247</v>
      </c>
      <c r="D19" s="117">
        <f>Cotizaciones!F15</f>
        <v>1</v>
      </c>
      <c r="E19" s="146">
        <f t="shared" si="0"/>
        <v>0</v>
      </c>
      <c r="J19" s="536" t="s">
        <v>383</v>
      </c>
    </row>
    <row r="20" spans="1:10" s="3" customFormat="1" ht="13.8" x14ac:dyDescent="0.3">
      <c r="A20" s="209" t="s">
        <v>263</v>
      </c>
      <c r="B20" s="169">
        <v>0</v>
      </c>
      <c r="C20" s="18" t="s">
        <v>247</v>
      </c>
      <c r="D20" s="117">
        <f>Cotizaciones!F5</f>
        <v>0</v>
      </c>
      <c r="E20" s="146">
        <f t="shared" si="0"/>
        <v>0</v>
      </c>
      <c r="J20" s="536" t="s">
        <v>383</v>
      </c>
    </row>
    <row r="21" spans="1:10" s="3" customFormat="1" ht="13.8" x14ac:dyDescent="0.3">
      <c r="A21" s="209" t="s">
        <v>412</v>
      </c>
      <c r="B21" s="169">
        <v>1</v>
      </c>
      <c r="C21" s="18" t="s">
        <v>247</v>
      </c>
      <c r="D21" s="117">
        <v>4</v>
      </c>
      <c r="E21" s="146">
        <f>B21*D21</f>
        <v>4</v>
      </c>
      <c r="G21" s="93">
        <v>41183</v>
      </c>
      <c r="J21" s="3" t="s">
        <v>408</v>
      </c>
    </row>
    <row r="22" spans="1:10" s="3" customFormat="1" ht="13.8" x14ac:dyDescent="0.3">
      <c r="A22" s="209" t="s">
        <v>413</v>
      </c>
      <c r="B22" s="169">
        <v>0.5</v>
      </c>
      <c r="C22" s="18" t="s">
        <v>247</v>
      </c>
      <c r="D22" s="117">
        <f>Cotizaciones!F6</f>
        <v>5</v>
      </c>
      <c r="E22" s="146">
        <f>D22*B22</f>
        <v>2.5</v>
      </c>
      <c r="G22" s="93"/>
      <c r="J22" s="3" t="s">
        <v>408</v>
      </c>
    </row>
    <row r="23" spans="1:10" s="3" customFormat="1" ht="13.8" x14ac:dyDescent="0.3">
      <c r="A23" s="210"/>
      <c r="B23" s="20"/>
      <c r="C23" s="667" t="s">
        <v>265</v>
      </c>
      <c r="D23" s="667"/>
      <c r="E23" s="141">
        <f>SUM(E9:E22)</f>
        <v>98.5</v>
      </c>
      <c r="F23" s="159">
        <f>E23/E65</f>
        <v>0.10126348037955814</v>
      </c>
      <c r="G23" s="141">
        <f>E23*$B$3</f>
        <v>0</v>
      </c>
    </row>
    <row r="24" spans="1:10" s="3" customFormat="1" ht="13.8" x14ac:dyDescent="0.3">
      <c r="A24" s="208" t="s">
        <v>205</v>
      </c>
      <c r="B24" s="23"/>
      <c r="C24" s="12"/>
      <c r="D24" s="24"/>
      <c r="E24" s="25"/>
      <c r="F24" s="15"/>
    </row>
    <row r="25" spans="1:10" s="3" customFormat="1" ht="13.8" x14ac:dyDescent="0.3">
      <c r="A25" s="212" t="s">
        <v>414</v>
      </c>
      <c r="B25" s="171">
        <v>0.3</v>
      </c>
      <c r="C25" s="18" t="s">
        <v>415</v>
      </c>
      <c r="D25" s="117">
        <f>Cotizaciones!E42</f>
        <v>300</v>
      </c>
      <c r="E25" s="217">
        <f>B25*D25</f>
        <v>90</v>
      </c>
      <c r="J25" s="3" t="s">
        <v>261</v>
      </c>
    </row>
    <row r="26" spans="1:10" s="3" customFormat="1" ht="13.8" x14ac:dyDescent="0.3">
      <c r="A26" s="212"/>
      <c r="B26" s="30"/>
      <c r="C26" s="667" t="s">
        <v>270</v>
      </c>
      <c r="D26" s="667"/>
      <c r="E26" s="141">
        <f>SUM(E25:E25)</f>
        <v>90</v>
      </c>
      <c r="F26" s="159">
        <f>E26/E65</f>
        <v>9.2525007453403377E-2</v>
      </c>
      <c r="G26" s="141">
        <f>E26*$B$3</f>
        <v>0</v>
      </c>
    </row>
    <row r="27" spans="1:10" s="3" customFormat="1" ht="13.8" x14ac:dyDescent="0.3">
      <c r="A27" s="212"/>
      <c r="B27" s="27"/>
      <c r="C27" s="18"/>
      <c r="D27" s="28"/>
      <c r="E27" s="29"/>
    </row>
    <row r="28" spans="1:10" s="3" customFormat="1" ht="13.8" x14ac:dyDescent="0.3">
      <c r="A28" s="208" t="s">
        <v>206</v>
      </c>
      <c r="B28" s="11">
        <v>1</v>
      </c>
      <c r="C28" s="12" t="s">
        <v>247</v>
      </c>
      <c r="D28" s="527">
        <f>+'Resumen Proy'!C57</f>
        <v>426</v>
      </c>
      <c r="E28" s="172">
        <f>D28*B28</f>
        <v>426</v>
      </c>
      <c r="F28" s="15"/>
    </row>
    <row r="29" spans="1:10" s="3" customFormat="1" ht="13.8" x14ac:dyDescent="0.3">
      <c r="A29" s="212"/>
      <c r="B29" s="87"/>
      <c r="C29" s="667" t="s">
        <v>271</v>
      </c>
      <c r="D29" s="667"/>
      <c r="E29" s="176">
        <f>E28</f>
        <v>426</v>
      </c>
      <c r="F29" s="22">
        <f>E29/E65</f>
        <v>0.43795170194610933</v>
      </c>
      <c r="G29" s="141">
        <f>+'[2]Alquileres por campo'!$S$60</f>
        <v>0</v>
      </c>
    </row>
    <row r="30" spans="1:10" s="3" customFormat="1" ht="13.8" x14ac:dyDescent="0.3">
      <c r="A30" s="212"/>
      <c r="B30" s="87"/>
      <c r="C30" s="18"/>
      <c r="D30" s="28"/>
      <c r="E30" s="29"/>
    </row>
    <row r="31" spans="1:10" s="3" customFormat="1" ht="13.8" x14ac:dyDescent="0.3">
      <c r="A31" s="208" t="s">
        <v>207</v>
      </c>
      <c r="B31" s="281">
        <v>40</v>
      </c>
      <c r="C31" s="12" t="s">
        <v>272</v>
      </c>
      <c r="D31" s="173">
        <f>B31</f>
        <v>40</v>
      </c>
      <c r="E31" s="174">
        <f>D31</f>
        <v>40</v>
      </c>
      <c r="F31" s="15"/>
    </row>
    <row r="32" spans="1:10" s="3" customFormat="1" ht="13.8" x14ac:dyDescent="0.3">
      <c r="A32" s="212"/>
      <c r="B32" s="87"/>
      <c r="C32" s="667" t="s">
        <v>273</v>
      </c>
      <c r="D32" s="667"/>
      <c r="E32" s="141">
        <f>E31</f>
        <v>40</v>
      </c>
      <c r="F32" s="159">
        <f>E32/E65</f>
        <v>4.1122225534845944E-2</v>
      </c>
      <c r="G32" s="141">
        <f>E32*$B$3</f>
        <v>0</v>
      </c>
    </row>
    <row r="34" spans="1:10" s="3" customFormat="1" ht="13.8" x14ac:dyDescent="0.3">
      <c r="A34" s="208" t="s">
        <v>140</v>
      </c>
      <c r="B34" s="11"/>
      <c r="C34" s="12"/>
      <c r="D34" s="24"/>
      <c r="E34" s="25"/>
      <c r="F34" s="15"/>
    </row>
    <row r="35" spans="1:10" s="3" customFormat="1" ht="13.8" x14ac:dyDescent="0.3">
      <c r="A35" s="212" t="s">
        <v>366</v>
      </c>
      <c r="B35" s="170">
        <v>0.06</v>
      </c>
      <c r="C35" s="18" t="s">
        <v>275</v>
      </c>
      <c r="D35" s="161">
        <f>+Cotizaciones!I25</f>
        <v>990</v>
      </c>
      <c r="E35" s="146">
        <f>D35*B35</f>
        <v>59.4</v>
      </c>
      <c r="G35" s="3" t="str">
        <f>+A12</f>
        <v>Siembra Directa</v>
      </c>
      <c r="I35" s="3">
        <f>+E35*B3</f>
        <v>0</v>
      </c>
      <c r="J35" s="3" t="s">
        <v>276</v>
      </c>
    </row>
    <row r="36" spans="1:10" s="3" customFormat="1" ht="13.8" x14ac:dyDescent="0.3">
      <c r="A36" s="212" t="s">
        <v>416</v>
      </c>
      <c r="B36" s="170">
        <v>0.06</v>
      </c>
      <c r="C36" s="18" t="s">
        <v>275</v>
      </c>
      <c r="D36" s="161">
        <f>+Cotizaciones!I34</f>
        <v>610</v>
      </c>
      <c r="E36" s="146">
        <f>D36*B36</f>
        <v>36.6</v>
      </c>
      <c r="G36" s="3" t="str">
        <f>+A16</f>
        <v>Fertilización</v>
      </c>
      <c r="J36" s="3" t="s">
        <v>268</v>
      </c>
    </row>
    <row r="37" spans="1:10" s="3" customFormat="1" ht="13.8" x14ac:dyDescent="0.3">
      <c r="A37" s="212" t="s">
        <v>269</v>
      </c>
      <c r="B37" s="170">
        <f>+B36+B35</f>
        <v>0.12</v>
      </c>
      <c r="C37" s="18"/>
      <c r="D37" s="161">
        <f>+'Trigo SP'!D35</f>
        <v>35</v>
      </c>
      <c r="E37" s="146">
        <f>+D37*B37</f>
        <v>4.2</v>
      </c>
    </row>
    <row r="38" spans="1:10" s="3" customFormat="1" ht="13.8" x14ac:dyDescent="0.3">
      <c r="A38" s="212"/>
      <c r="B38" s="18"/>
      <c r="C38" s="667" t="s">
        <v>280</v>
      </c>
      <c r="D38" s="667"/>
      <c r="E38" s="176">
        <f>+E37+E36+E35</f>
        <v>100.2</v>
      </c>
      <c r="F38" s="159">
        <f>E38/E65</f>
        <v>0.10301117496478909</v>
      </c>
      <c r="G38" s="141">
        <f>E38*$B$3</f>
        <v>0</v>
      </c>
    </row>
    <row r="39" spans="1:10" s="3" customFormat="1" ht="13.8" x14ac:dyDescent="0.3">
      <c r="A39" s="208" t="s">
        <v>118</v>
      </c>
      <c r="B39" s="11"/>
      <c r="C39" s="12"/>
      <c r="D39" s="24"/>
      <c r="E39" s="25"/>
      <c r="F39" s="15"/>
    </row>
    <row r="40" spans="1:10" s="3" customFormat="1" ht="13.8" x14ac:dyDescent="0.3">
      <c r="A40" s="212"/>
      <c r="B40" s="87"/>
      <c r="C40" s="18"/>
      <c r="D40" s="28"/>
      <c r="E40" s="29"/>
    </row>
    <row r="41" spans="1:10" s="3" customFormat="1" ht="13.8" x14ac:dyDescent="0.3">
      <c r="A41" s="212" t="s">
        <v>494</v>
      </c>
      <c r="B41" s="171">
        <v>0.3</v>
      </c>
      <c r="C41" s="18" t="s">
        <v>283</v>
      </c>
      <c r="D41" s="117">
        <f>+Cotizaciones!I52</f>
        <v>19</v>
      </c>
      <c r="E41" s="117">
        <f>B41*D41</f>
        <v>5.7</v>
      </c>
      <c r="G41" s="3" t="str">
        <f>+A11</f>
        <v>Barbecho Quimico</v>
      </c>
      <c r="J41" s="3" t="s">
        <v>253</v>
      </c>
    </row>
    <row r="42" spans="1:10" s="3" customFormat="1" ht="13.8" x14ac:dyDescent="0.3">
      <c r="A42" s="212" t="s">
        <v>127</v>
      </c>
      <c r="B42" s="171">
        <v>4.5</v>
      </c>
      <c r="C42" s="18" t="s">
        <v>283</v>
      </c>
      <c r="D42" s="117">
        <f>+Cotizaciones!I28</f>
        <v>4.5</v>
      </c>
      <c r="E42" s="117">
        <f>B42*D42</f>
        <v>20.25</v>
      </c>
      <c r="G42" s="3" t="str">
        <f>+G41</f>
        <v>Barbecho Quimico</v>
      </c>
      <c r="J42" s="3" t="s">
        <v>253</v>
      </c>
    </row>
    <row r="43" spans="1:10" s="3" customFormat="1" ht="13.8" x14ac:dyDescent="0.3">
      <c r="A43" s="212" t="s">
        <v>7</v>
      </c>
      <c r="B43" s="171">
        <v>1.6</v>
      </c>
      <c r="C43" s="18" t="s">
        <v>283</v>
      </c>
      <c r="D43" s="117">
        <f>+Cotizaciones!I5</f>
        <v>4.5999999999999996</v>
      </c>
      <c r="E43" s="117">
        <f>B43*D43</f>
        <v>7.3599999999999994</v>
      </c>
      <c r="G43" s="3" t="s">
        <v>417</v>
      </c>
      <c r="J43" s="3" t="s">
        <v>253</v>
      </c>
    </row>
    <row r="44" spans="1:10" s="3" customFormat="1" ht="13.8" x14ac:dyDescent="0.3">
      <c r="A44" s="212" t="s">
        <v>145</v>
      </c>
      <c r="B44" s="171">
        <v>1</v>
      </c>
      <c r="C44" s="18" t="s">
        <v>283</v>
      </c>
      <c r="D44" s="117">
        <v>20</v>
      </c>
      <c r="E44" s="117">
        <f>B44*D44</f>
        <v>20</v>
      </c>
      <c r="J44" s="536" t="s">
        <v>253</v>
      </c>
    </row>
    <row r="45" spans="1:10" s="3" customFormat="1" ht="13.8" x14ac:dyDescent="0.3">
      <c r="A45" s="212" t="s">
        <v>286</v>
      </c>
      <c r="B45" s="171">
        <v>1</v>
      </c>
      <c r="C45" s="18" t="s">
        <v>283</v>
      </c>
      <c r="D45" s="117">
        <f>+Cotizaciones!I24</f>
        <v>11.8</v>
      </c>
      <c r="E45" s="146">
        <f>+D45*B45</f>
        <v>11.8</v>
      </c>
      <c r="J45" s="536" t="s">
        <v>253</v>
      </c>
    </row>
    <row r="46" spans="1:10" s="3" customFormat="1" ht="13.8" x14ac:dyDescent="0.3">
      <c r="A46" s="212" t="s">
        <v>418</v>
      </c>
      <c r="B46" s="171">
        <v>0.08</v>
      </c>
      <c r="C46" s="18" t="s">
        <v>88</v>
      </c>
      <c r="D46" s="117">
        <f>+'Girasol O SP'!D46</f>
        <v>170</v>
      </c>
      <c r="E46" s="117">
        <f t="shared" ref="E46:E51" si="1">B46*D46</f>
        <v>13.6</v>
      </c>
      <c r="G46" s="3" t="str">
        <f>+A13</f>
        <v>Pulverizacion Post-emergente (CL)</v>
      </c>
      <c r="J46" s="3" t="s">
        <v>408</v>
      </c>
    </row>
    <row r="47" spans="1:10" s="3" customFormat="1" ht="13.8" x14ac:dyDescent="0.3">
      <c r="A47" s="212" t="str">
        <f>+'Girasol O SP'!A45</f>
        <v>Coragen</v>
      </c>
      <c r="B47" s="171">
        <v>1.4999999999999999E-2</v>
      </c>
      <c r="C47" s="18" t="s">
        <v>283</v>
      </c>
      <c r="D47" s="117">
        <f>Cotizaciones!I31</f>
        <v>20</v>
      </c>
      <c r="E47" s="117">
        <f t="shared" si="1"/>
        <v>0.3</v>
      </c>
      <c r="G47" s="3" t="s">
        <v>419</v>
      </c>
      <c r="J47" s="3" t="s">
        <v>261</v>
      </c>
    </row>
    <row r="48" spans="1:10" s="3" customFormat="1" ht="13.8" x14ac:dyDescent="0.3">
      <c r="A48" s="212" t="s">
        <v>420</v>
      </c>
      <c r="B48" s="171">
        <v>1.6</v>
      </c>
      <c r="C48" s="18" t="s">
        <v>283</v>
      </c>
      <c r="D48" s="117">
        <f>+Cotizaciones!I27</f>
        <v>6</v>
      </c>
      <c r="E48" s="117">
        <f t="shared" si="1"/>
        <v>9.6000000000000014</v>
      </c>
      <c r="J48" s="536" t="s">
        <v>261</v>
      </c>
    </row>
    <row r="49" spans="1:10" s="3" customFormat="1" ht="13.8" x14ac:dyDescent="0.3">
      <c r="A49" s="212" t="s">
        <v>537</v>
      </c>
      <c r="B49" s="171">
        <v>0.1</v>
      </c>
      <c r="C49" s="18" t="s">
        <v>283</v>
      </c>
      <c r="D49" s="117">
        <v>10</v>
      </c>
      <c r="E49" s="117">
        <f t="shared" si="1"/>
        <v>1</v>
      </c>
      <c r="G49" s="3" t="str">
        <f>+A18</f>
        <v>Aplicación aerea insecticida</v>
      </c>
      <c r="J49" s="3" t="s">
        <v>383</v>
      </c>
    </row>
    <row r="50" spans="1:10" s="3" customFormat="1" ht="13.8" x14ac:dyDescent="0.3">
      <c r="A50" s="212" t="s">
        <v>112</v>
      </c>
      <c r="B50" s="171">
        <v>0.05</v>
      </c>
      <c r="C50" s="18"/>
      <c r="D50" s="117">
        <f>+Cotizaciones!I46</f>
        <v>80</v>
      </c>
      <c r="E50" s="117">
        <f t="shared" si="1"/>
        <v>4</v>
      </c>
      <c r="J50" s="536" t="s">
        <v>383</v>
      </c>
    </row>
    <row r="51" spans="1:10" s="3" customFormat="1" ht="13.8" x14ac:dyDescent="0.3">
      <c r="A51" s="212" t="s">
        <v>282</v>
      </c>
      <c r="B51" s="171">
        <v>4</v>
      </c>
      <c r="C51" s="18" t="s">
        <v>283</v>
      </c>
      <c r="D51" s="117">
        <f>+Cotizaciones!I45</f>
        <v>2.6</v>
      </c>
      <c r="E51" s="117">
        <f t="shared" si="1"/>
        <v>10.4</v>
      </c>
      <c r="J51" s="3" t="s">
        <v>261</v>
      </c>
    </row>
    <row r="52" spans="1:10" s="3" customFormat="1" ht="13.8" x14ac:dyDescent="0.3">
      <c r="A52" s="212" t="s">
        <v>136</v>
      </c>
      <c r="B52" s="171">
        <v>2</v>
      </c>
      <c r="C52" s="18" t="s">
        <v>421</v>
      </c>
      <c r="D52" s="117">
        <f>Cotizaciones!I14</f>
        <v>7</v>
      </c>
      <c r="E52" s="117">
        <f>+D52*B52</f>
        <v>14</v>
      </c>
      <c r="G52" s="3" t="str">
        <f>+A21</f>
        <v xml:space="preserve">Monitoreo bb y b </v>
      </c>
    </row>
    <row r="53" spans="1:10" s="3" customFormat="1" ht="13.8" x14ac:dyDescent="0.3">
      <c r="A53" s="212"/>
      <c r="B53" s="18"/>
      <c r="C53" s="667" t="s">
        <v>288</v>
      </c>
      <c r="D53" s="667"/>
      <c r="E53" s="176">
        <f>SUM(E41:E52)</f>
        <v>118.00999999999999</v>
      </c>
      <c r="F53" s="22">
        <f>E53/E65</f>
        <v>0.12132084588417924</v>
      </c>
      <c r="G53" s="141">
        <f>E53*$B$3</f>
        <v>0</v>
      </c>
    </row>
    <row r="54" spans="1:10" s="3" customFormat="1" ht="13.8" x14ac:dyDescent="0.3">
      <c r="A54" s="212"/>
      <c r="B54" s="87"/>
      <c r="C54" s="18"/>
      <c r="D54" s="28"/>
      <c r="E54" s="29"/>
    </row>
    <row r="55" spans="1:10" s="3" customFormat="1" ht="13.8" x14ac:dyDescent="0.3">
      <c r="A55" s="208" t="s">
        <v>289</v>
      </c>
      <c r="B55" s="11">
        <v>1</v>
      </c>
      <c r="C55" s="12" t="s">
        <v>290</v>
      </c>
      <c r="D55" s="13">
        <v>85</v>
      </c>
      <c r="E55" s="172">
        <f>+B55*D55</f>
        <v>85</v>
      </c>
      <c r="F55" s="15"/>
    </row>
    <row r="56" spans="1:10" s="3" customFormat="1" ht="13.8" x14ac:dyDescent="0.3">
      <c r="A56" s="213"/>
      <c r="B56" s="180"/>
      <c r="C56" s="667" t="s">
        <v>291</v>
      </c>
      <c r="D56" s="667"/>
      <c r="E56" s="176">
        <f>E55</f>
        <v>85</v>
      </c>
      <c r="F56" s="22">
        <f>E56/E65</f>
        <v>8.7384729261547625E-2</v>
      </c>
      <c r="G56" s="141">
        <f>E56*$B$3</f>
        <v>0</v>
      </c>
    </row>
    <row r="57" spans="1:10" s="3" customFormat="1" ht="13.8" x14ac:dyDescent="0.3"/>
    <row r="58" spans="1:10" s="3" customFormat="1" ht="13.8" x14ac:dyDescent="0.3">
      <c r="A58" s="213"/>
      <c r="B58" s="180"/>
      <c r="C58" s="18"/>
      <c r="D58" s="28"/>
      <c r="E58" s="29"/>
    </row>
    <row r="59" spans="1:10" s="3" customFormat="1" ht="13.8" x14ac:dyDescent="0.3">
      <c r="A59" s="208" t="s">
        <v>422</v>
      </c>
      <c r="B59" s="11">
        <v>2.8</v>
      </c>
      <c r="C59" s="12" t="s">
        <v>423</v>
      </c>
      <c r="D59" s="177">
        <v>15</v>
      </c>
      <c r="E59" s="178">
        <f>D59</f>
        <v>15</v>
      </c>
      <c r="F59" s="15"/>
    </row>
    <row r="60" spans="1:10" s="3" customFormat="1" ht="13.8" x14ac:dyDescent="0.3">
      <c r="A60" s="213"/>
      <c r="B60" s="180"/>
      <c r="C60" s="667" t="s">
        <v>293</v>
      </c>
      <c r="D60" s="667"/>
      <c r="E60" s="176">
        <f>+E59</f>
        <v>15</v>
      </c>
      <c r="F60" s="159">
        <f>E60/E65</f>
        <v>1.5420834575567229E-2</v>
      </c>
      <c r="G60" s="141">
        <f>E60*$B$3</f>
        <v>0</v>
      </c>
    </row>
    <row r="61" spans="1:10" s="3" customFormat="1" ht="13.8" x14ac:dyDescent="0.3">
      <c r="A61" s="213"/>
      <c r="B61" s="180"/>
      <c r="C61" s="7"/>
      <c r="D61" s="7"/>
      <c r="E61" s="227"/>
    </row>
    <row r="62" spans="1:10" s="3" customFormat="1" ht="13.8" x14ac:dyDescent="0.3">
      <c r="A62" s="208" t="s">
        <v>294</v>
      </c>
      <c r="B62" s="11">
        <v>0</v>
      </c>
      <c r="C62" s="12" t="s">
        <v>295</v>
      </c>
      <c r="D62" s="13">
        <v>0</v>
      </c>
      <c r="E62" s="172">
        <v>0</v>
      </c>
      <c r="F62" s="15"/>
    </row>
    <row r="63" spans="1:10" s="3" customFormat="1" ht="13.8" x14ac:dyDescent="0.3">
      <c r="A63" s="212"/>
      <c r="B63" s="87"/>
      <c r="C63" s="667" t="s">
        <v>296</v>
      </c>
      <c r="D63" s="667"/>
      <c r="E63" s="176">
        <f>E62</f>
        <v>0</v>
      </c>
      <c r="F63" s="767">
        <f>D63*$B$3</f>
        <v>0</v>
      </c>
      <c r="G63" s="767">
        <f>E63*$B$3</f>
        <v>0</v>
      </c>
    </row>
    <row r="65" spans="1:7" s="3" customFormat="1" ht="13.8" x14ac:dyDescent="0.3">
      <c r="A65" s="224"/>
      <c r="B65" s="226"/>
      <c r="C65" s="673" t="s">
        <v>317</v>
      </c>
      <c r="D65" s="673"/>
      <c r="E65" s="220">
        <f>E23+E26+E29+E32+E38+E53+E56+E60+E63</f>
        <v>972.71</v>
      </c>
      <c r="F65" s="228">
        <f>F23+F26+F29+F32+F38+F53+F77+F60+F56</f>
        <v>0.99999999999999989</v>
      </c>
      <c r="G65" s="141">
        <f>E65*$B$3</f>
        <v>0</v>
      </c>
    </row>
    <row r="66" spans="1:7" s="3" customFormat="1" ht="13.8" x14ac:dyDescent="0.3">
      <c r="A66" s="30"/>
      <c r="B66" s="87"/>
      <c r="C66" s="7"/>
      <c r="D66" s="7"/>
      <c r="E66" s="227"/>
      <c r="F66" s="581"/>
      <c r="G66" s="183"/>
    </row>
    <row r="67" spans="1:7" s="3" customFormat="1" ht="13.8" x14ac:dyDescent="0.3">
      <c r="A67" s="30"/>
      <c r="B67" s="87"/>
      <c r="C67" s="7"/>
      <c r="D67" s="7"/>
      <c r="E67" s="227"/>
      <c r="F67" s="581"/>
      <c r="G67" s="183"/>
    </row>
    <row r="68" spans="1:7" s="3" customFormat="1" ht="13.8" x14ac:dyDescent="0.3">
      <c r="A68" s="208" t="s">
        <v>300</v>
      </c>
      <c r="B68" s="11"/>
      <c r="C68" s="12"/>
      <c r="D68" s="24"/>
      <c r="E68" s="25"/>
      <c r="F68" s="15"/>
    </row>
    <row r="69" spans="1:7" s="3" customFormat="1" ht="13.8" x14ac:dyDescent="0.3">
      <c r="A69" s="213" t="s">
        <v>301</v>
      </c>
      <c r="B69" s="181">
        <v>0</v>
      </c>
      <c r="C69" s="18" t="s">
        <v>302</v>
      </c>
      <c r="D69" s="145">
        <f>Cotizaciones!F24</f>
        <v>3.3</v>
      </c>
      <c r="E69" s="146">
        <f>D69*B69*B83</f>
        <v>0</v>
      </c>
    </row>
    <row r="70" spans="1:7" s="3" customFormat="1" ht="13.8" x14ac:dyDescent="0.3">
      <c r="A70" s="213" t="s">
        <v>303</v>
      </c>
      <c r="B70" s="181">
        <v>0</v>
      </c>
      <c r="C70" s="18" t="s">
        <v>355</v>
      </c>
      <c r="D70" s="145">
        <f>Cotizaciones!I41/210</f>
        <v>1.9523809523809523</v>
      </c>
      <c r="E70" s="146">
        <f>D70*B70*B83</f>
        <v>0</v>
      </c>
    </row>
    <row r="71" spans="1:7" s="3" customFormat="1" ht="13.8" x14ac:dyDescent="0.3">
      <c r="A71" s="213" t="s">
        <v>305</v>
      </c>
      <c r="B71" s="181">
        <v>0</v>
      </c>
      <c r="C71" s="18" t="s">
        <v>371</v>
      </c>
      <c r="D71" s="146">
        <f>Cotizaciones!F31</f>
        <v>3</v>
      </c>
      <c r="E71" s="146">
        <f>+D71*B71*$B$83</f>
        <v>0</v>
      </c>
    </row>
    <row r="72" spans="1:7" s="3" customFormat="1" ht="13.8" x14ac:dyDescent="0.3">
      <c r="A72" s="213" t="s">
        <v>306</v>
      </c>
      <c r="B72" s="181">
        <v>0.5</v>
      </c>
      <c r="C72" s="18" t="s">
        <v>371</v>
      </c>
      <c r="D72" s="146">
        <f>Cotizaciones!F35</f>
        <v>5</v>
      </c>
      <c r="E72" s="146">
        <f>+D72*B72*$B$83</f>
        <v>6.5</v>
      </c>
    </row>
    <row r="73" spans="1:7" s="3" customFormat="1" ht="13.8" x14ac:dyDescent="0.3">
      <c r="A73" s="213" t="s">
        <v>83</v>
      </c>
      <c r="B73" s="181">
        <v>0.5</v>
      </c>
      <c r="C73" s="18" t="s">
        <v>371</v>
      </c>
      <c r="D73" s="146">
        <f>+Cotizaciones!F36</f>
        <v>6.5</v>
      </c>
      <c r="E73" s="146">
        <f>+D73*B73*$B$83</f>
        <v>8.4500000000000011</v>
      </c>
    </row>
    <row r="74" spans="1:7" s="3" customFormat="1" ht="13.8" x14ac:dyDescent="0.3">
      <c r="A74" s="213" t="s">
        <v>307</v>
      </c>
      <c r="B74" s="181">
        <v>1</v>
      </c>
      <c r="C74" s="18" t="s">
        <v>371</v>
      </c>
      <c r="D74" s="146">
        <f>+Cotizaciones!E5/Cotizaciones!M20</f>
        <v>0.53083472598960413</v>
      </c>
      <c r="E74" s="146">
        <f>+D74*B74*$B$83</f>
        <v>1.3801702875729709</v>
      </c>
    </row>
    <row r="75" spans="1:7" s="3" customFormat="1" ht="13.8" x14ac:dyDescent="0.3">
      <c r="A75" s="213" t="s">
        <v>308</v>
      </c>
      <c r="B75" s="181">
        <v>1</v>
      </c>
      <c r="C75" s="18" t="s">
        <v>371</v>
      </c>
      <c r="D75" s="521">
        <f>+'Cebada SP'!D71</f>
        <v>20</v>
      </c>
      <c r="E75" s="146">
        <f>+D75*B75*$B$83</f>
        <v>52</v>
      </c>
    </row>
    <row r="76" spans="1:7" s="3" customFormat="1" ht="13.8" x14ac:dyDescent="0.3">
      <c r="A76" s="213" t="s">
        <v>309</v>
      </c>
      <c r="B76" s="181">
        <v>1</v>
      </c>
      <c r="C76" s="18" t="s">
        <v>295</v>
      </c>
      <c r="D76" s="146">
        <f>B76%*B83*Cotizaciones!B12</f>
        <v>11.700000000000001</v>
      </c>
      <c r="E76" s="146">
        <f>D76</f>
        <v>11.700000000000001</v>
      </c>
    </row>
    <row r="77" spans="1:7" s="3" customFormat="1" ht="13.8" x14ac:dyDescent="0.3">
      <c r="A77" s="213"/>
      <c r="B77" s="215"/>
      <c r="C77" s="667" t="s">
        <v>310</v>
      </c>
      <c r="D77" s="667"/>
      <c r="E77" s="176">
        <f>SUM(E69:E76)</f>
        <v>80.030170287572972</v>
      </c>
      <c r="F77" s="159"/>
      <c r="G77" s="141">
        <f>E77*$B$3</f>
        <v>0</v>
      </c>
    </row>
    <row r="78" spans="1:7" s="3" customFormat="1" ht="13.8" x14ac:dyDescent="0.3">
      <c r="A78" s="213" t="s">
        <v>356</v>
      </c>
      <c r="B78" s="27"/>
      <c r="C78" s="566"/>
      <c r="D78" s="566"/>
      <c r="E78" s="227">
        <v>358</v>
      </c>
      <c r="F78" s="567"/>
    </row>
    <row r="79" spans="1:7" s="3" customFormat="1" ht="13.8" x14ac:dyDescent="0.3">
      <c r="A79" s="213" t="s">
        <v>311</v>
      </c>
      <c r="B79" s="30"/>
      <c r="C79" s="18"/>
      <c r="D79" s="28"/>
      <c r="E79" s="227">
        <f>+E77/B83</f>
        <v>30.780834725989603</v>
      </c>
      <c r="F79" s="22">
        <f>+E79/E78</f>
        <v>8.5979985268127376E-2</v>
      </c>
    </row>
    <row r="80" spans="1:7" s="3" customFormat="1" ht="13.8" x14ac:dyDescent="0.3">
      <c r="A80" s="213" t="s">
        <v>312</v>
      </c>
      <c r="D80" s="28"/>
      <c r="E80" s="227">
        <f>+E78-E79</f>
        <v>327.21916527401038</v>
      </c>
    </row>
    <row r="82" spans="1:6" s="3" customFormat="1" thickBot="1" x14ac:dyDescent="0.35">
      <c r="A82" s="670" t="s">
        <v>424</v>
      </c>
      <c r="B82" s="671"/>
      <c r="C82" s="672"/>
      <c r="D82" s="749"/>
      <c r="E82" s="749"/>
      <c r="F82" s="749"/>
    </row>
    <row r="83" spans="1:6" s="3" customFormat="1" ht="13.8" x14ac:dyDescent="0.3">
      <c r="A83" s="240" t="s">
        <v>315</v>
      </c>
      <c r="B83" s="568">
        <v>2.6</v>
      </c>
      <c r="C83" s="194" t="s">
        <v>316</v>
      </c>
      <c r="D83" s="33"/>
      <c r="E83" s="33"/>
      <c r="F83" s="33"/>
    </row>
    <row r="84" spans="1:6" s="3" customFormat="1" ht="13.8" x14ac:dyDescent="0.3">
      <c r="A84" s="241" t="s">
        <v>358</v>
      </c>
      <c r="B84" s="528">
        <f>+E80</f>
        <v>327.21916527401038</v>
      </c>
      <c r="C84" s="196" t="s">
        <v>275</v>
      </c>
      <c r="D84" s="537"/>
    </row>
    <row r="85" spans="1:6" s="3" customFormat="1" ht="13.8" x14ac:dyDescent="0.3">
      <c r="A85" s="40" t="s">
        <v>425</v>
      </c>
      <c r="B85" s="195">
        <f>E78*0.13</f>
        <v>46.54</v>
      </c>
      <c r="C85" s="196" t="s">
        <v>275</v>
      </c>
      <c r="D85" s="28"/>
      <c r="E85" s="18"/>
    </row>
    <row r="86" spans="1:6" s="3" customFormat="1" ht="13.8" x14ac:dyDescent="0.3">
      <c r="A86" s="40" t="s">
        <v>426</v>
      </c>
      <c r="B86" s="195">
        <v>0</v>
      </c>
      <c r="C86" s="196" t="s">
        <v>275</v>
      </c>
      <c r="D86" s="28"/>
      <c r="E86" s="18"/>
    </row>
    <row r="87" spans="1:6" s="3" customFormat="1" ht="13.8" x14ac:dyDescent="0.3">
      <c r="A87" s="40" t="s">
        <v>427</v>
      </c>
      <c r="B87" s="195">
        <f>B84+B85+B86</f>
        <v>373.7591652740104</v>
      </c>
      <c r="C87" s="196" t="s">
        <v>275</v>
      </c>
      <c r="D87" s="28"/>
      <c r="E87" s="18"/>
    </row>
    <row r="88" spans="1:6" s="3" customFormat="1" ht="13.8" x14ac:dyDescent="0.3">
      <c r="A88" s="242" t="s">
        <v>317</v>
      </c>
      <c r="B88" s="244">
        <f>E65</f>
        <v>972.71</v>
      </c>
      <c r="C88" s="197" t="s">
        <v>21</v>
      </c>
      <c r="D88" s="28">
        <f>+B88/B83</f>
        <v>374.1192307692308</v>
      </c>
      <c r="E88" s="18"/>
    </row>
    <row r="89" spans="1:6" s="3" customFormat="1" ht="13.8" x14ac:dyDescent="0.3">
      <c r="A89" s="190" t="s">
        <v>322</v>
      </c>
      <c r="B89" s="195">
        <f>+(B84+B85+B86)*B83</f>
        <v>971.77382971242707</v>
      </c>
      <c r="C89" s="196" t="s">
        <v>318</v>
      </c>
      <c r="D89" s="28">
        <f>+D88/B87</f>
        <v>1.0009633623163634</v>
      </c>
      <c r="E89" s="30"/>
    </row>
    <row r="90" spans="1:6" s="3" customFormat="1" ht="13.8" x14ac:dyDescent="0.3">
      <c r="A90" s="242" t="s">
        <v>321</v>
      </c>
      <c r="B90" s="244">
        <f>+B89-E65</f>
        <v>-0.93617028757296339</v>
      </c>
      <c r="C90" s="197" t="s">
        <v>318</v>
      </c>
      <c r="D90" s="28"/>
      <c r="E90" s="30"/>
    </row>
    <row r="91" spans="1:6" s="3" customFormat="1" ht="13.8" x14ac:dyDescent="0.3">
      <c r="A91" s="242" t="s">
        <v>325</v>
      </c>
      <c r="B91" s="273">
        <f>+B90/B88</f>
        <v>-9.6243514261492463E-4</v>
      </c>
      <c r="C91" s="197"/>
      <c r="D91" s="28"/>
      <c r="E91" s="30"/>
    </row>
    <row r="92" spans="1:6" s="3" customFormat="1" ht="13.8" x14ac:dyDescent="0.3">
      <c r="A92" s="241" t="s">
        <v>326</v>
      </c>
      <c r="B92" s="246">
        <f>+B88/B87</f>
        <v>2.6025047420225444</v>
      </c>
      <c r="C92" s="197"/>
      <c r="D92" s="28"/>
      <c r="E92" s="30"/>
    </row>
    <row r="93" spans="1:6" s="3" customFormat="1" ht="13.8" x14ac:dyDescent="0.3">
      <c r="A93" s="242" t="s">
        <v>164</v>
      </c>
      <c r="B93" s="247">
        <f>+E53+E38+E32+E29+E26+E23</f>
        <v>872.71</v>
      </c>
      <c r="C93" s="197"/>
      <c r="D93" s="271"/>
      <c r="E93" s="30"/>
    </row>
    <row r="94" spans="1:6" s="3" customFormat="1" thickBot="1" x14ac:dyDescent="0.35">
      <c r="A94" s="243" t="s">
        <v>327</v>
      </c>
      <c r="B94" s="556">
        <f>B90/B93</f>
        <v>-1.072716352021821E-3</v>
      </c>
      <c r="C94" s="199"/>
      <c r="D94" s="28"/>
      <c r="E94" s="30"/>
    </row>
    <row r="95" spans="1:6" s="3" customFormat="1" ht="13.8" x14ac:dyDescent="0.3">
      <c r="A95" s="668" t="s">
        <v>317</v>
      </c>
      <c r="B95" s="668"/>
      <c r="C95" s="42">
        <f>E65</f>
        <v>972.71</v>
      </c>
      <c r="D95" s="28"/>
      <c r="E95" s="30"/>
    </row>
    <row r="97" spans="1:8" s="3" customFormat="1" ht="13.8" x14ac:dyDescent="0.3">
      <c r="A97" s="760" t="s">
        <v>359</v>
      </c>
      <c r="B97" s="760"/>
      <c r="C97" s="760"/>
      <c r="D97" s="760"/>
      <c r="E97" s="760"/>
      <c r="F97" s="760"/>
      <c r="G97" s="760"/>
      <c r="H97" s="760"/>
    </row>
    <row r="98" spans="1:8" s="3" customFormat="1" ht="13.8" x14ac:dyDescent="0.3">
      <c r="A98" s="605" t="s">
        <v>332</v>
      </c>
      <c r="B98" s="605">
        <f>B107</f>
        <v>1.7000000000000004</v>
      </c>
      <c r="C98" s="605">
        <f t="shared" ref="C98:G98" si="2">C107</f>
        <v>2.0000000000000004</v>
      </c>
      <c r="D98" s="605">
        <f t="shared" si="2"/>
        <v>2.3000000000000003</v>
      </c>
      <c r="E98" s="605">
        <f t="shared" si="2"/>
        <v>2.6</v>
      </c>
      <c r="F98" s="605">
        <f t="shared" si="2"/>
        <v>2.9</v>
      </c>
      <c r="G98" s="605">
        <f t="shared" si="2"/>
        <v>3.1999999999999997</v>
      </c>
      <c r="H98" s="605">
        <f>H107</f>
        <v>3.4999999999999996</v>
      </c>
    </row>
    <row r="99" spans="1:8" s="3" customFormat="1" ht="13.8" x14ac:dyDescent="0.3">
      <c r="A99" s="606">
        <f>A100-10</f>
        <v>343.7591652740104</v>
      </c>
      <c r="B99" s="607">
        <f>B108/C95*100</f>
        <v>-39.92139682270998</v>
      </c>
      <c r="C99" s="607">
        <f>C108/C95*100</f>
        <v>-29.319290379658803</v>
      </c>
      <c r="D99" s="607">
        <f>D108/C95*100</f>
        <v>-18.717183936607622</v>
      </c>
      <c r="E99" s="607">
        <f>E108/C95*100</f>
        <v>-8.1150774935564502</v>
      </c>
      <c r="F99" s="607">
        <f>F108/C95*100</f>
        <v>2.4870289494947166</v>
      </c>
      <c r="G99" s="607">
        <f>G108/C95*100</f>
        <v>13.089135392545897</v>
      </c>
      <c r="H99" s="607">
        <f>H108/C95*100</f>
        <v>23.691241835597065</v>
      </c>
    </row>
    <row r="100" spans="1:8" s="3" customFormat="1" ht="13.8" x14ac:dyDescent="0.3">
      <c r="A100" s="606">
        <f>A101-10</f>
        <v>353.7591652740104</v>
      </c>
      <c r="B100" s="607">
        <f>B109/C95*100</f>
        <v>-38.173702237479027</v>
      </c>
      <c r="C100" s="607">
        <f>C109/C95*100</f>
        <v>-27.263179102916503</v>
      </c>
      <c r="D100" s="607">
        <f>D109/C95*100</f>
        <v>-16.352655968353975</v>
      </c>
      <c r="E100" s="607">
        <f>E109/C95*100</f>
        <v>-5.4421328337914652</v>
      </c>
      <c r="F100" s="607">
        <f>F109/C95*100</f>
        <v>5.4683903007710599</v>
      </c>
      <c r="G100" s="607">
        <f>G109/C95*100</f>
        <v>16.378913435333573</v>
      </c>
      <c r="H100" s="607">
        <f>H109/C95*100</f>
        <v>27.289436569896086</v>
      </c>
    </row>
    <row r="101" spans="1:8" s="3" customFormat="1" ht="13.8" x14ac:dyDescent="0.3">
      <c r="A101" s="606">
        <f>A102-10</f>
        <v>363.7591652740104</v>
      </c>
      <c r="B101" s="607">
        <f>B110/C95*100</f>
        <v>-36.426007652248074</v>
      </c>
      <c r="C101" s="607">
        <f>C110/C95*100</f>
        <v>-25.207067826174207</v>
      </c>
      <c r="D101" s="607">
        <f>D110/C95*100</f>
        <v>-13.988128000100335</v>
      </c>
      <c r="E101" s="607">
        <f>E110/C95*100</f>
        <v>-2.7691881740264788</v>
      </c>
      <c r="F101" s="607">
        <f>F110/C95*100</f>
        <v>8.4497516520473912</v>
      </c>
      <c r="G101" s="607">
        <f>G110/C95*100</f>
        <v>19.668691478121247</v>
      </c>
      <c r="H101" s="607">
        <f>H110/C95*100</f>
        <v>30.887631304195107</v>
      </c>
    </row>
    <row r="102" spans="1:8" s="3" customFormat="1" ht="15.6" x14ac:dyDescent="0.3">
      <c r="A102" s="608">
        <f>B87</f>
        <v>373.7591652740104</v>
      </c>
      <c r="B102" s="607">
        <f>B111/C95*100</f>
        <v>-34.678313067017122</v>
      </c>
      <c r="C102" s="607">
        <f>C111/C95*100</f>
        <v>-23.150956549431907</v>
      </c>
      <c r="D102" s="607">
        <f>D111/C95*100</f>
        <v>-11.623600031846694</v>
      </c>
      <c r="E102" s="612">
        <f>E111/C95*100</f>
        <v>-9.6243514261492469E-2</v>
      </c>
      <c r="F102" s="607">
        <f>F111/C95*100</f>
        <v>11.431113003323722</v>
      </c>
      <c r="G102" s="607">
        <f>G111/C95*100</f>
        <v>22.958469520908924</v>
      </c>
      <c r="H102" s="607">
        <f>H111/C95*100</f>
        <v>34.485826038494125</v>
      </c>
    </row>
    <row r="103" spans="1:8" s="3" customFormat="1" ht="13.8" x14ac:dyDescent="0.3">
      <c r="A103" s="606">
        <f>A102+10</f>
        <v>383.7591652740104</v>
      </c>
      <c r="B103" s="609">
        <f>B112/C95*100</f>
        <v>-32.930618481786169</v>
      </c>
      <c r="C103" s="609">
        <f>C112/C95*100</f>
        <v>-21.094845272689611</v>
      </c>
      <c r="D103" s="609">
        <f>D112/C95*100</f>
        <v>-9.2590720635930523</v>
      </c>
      <c r="E103" s="609">
        <f>E112/C95*100</f>
        <v>2.5767011455034941</v>
      </c>
      <c r="F103" s="609">
        <f>F112/C95*100</f>
        <v>14.412474354600052</v>
      </c>
      <c r="G103" s="609">
        <f>G112/C95*100</f>
        <v>26.248247563696598</v>
      </c>
      <c r="H103" s="609">
        <f>H112/C95*100</f>
        <v>38.084020772793146</v>
      </c>
    </row>
    <row r="104" spans="1:8" s="3" customFormat="1" ht="13.8" x14ac:dyDescent="0.3">
      <c r="A104" s="606">
        <f>A103+10</f>
        <v>393.7591652740104</v>
      </c>
      <c r="B104" s="609">
        <f>B113/C95*100</f>
        <v>-31.182923896555202</v>
      </c>
      <c r="C104" s="609">
        <f>C113/C95*100</f>
        <v>-19.0387339959473</v>
      </c>
      <c r="D104" s="609">
        <f>D113/C95*100</f>
        <v>-6.8945440953394108</v>
      </c>
      <c r="E104" s="609">
        <f>E113/C95*100</f>
        <v>5.2496458052684805</v>
      </c>
      <c r="F104" s="609">
        <f>F113/C95*100</f>
        <v>17.393835705876384</v>
      </c>
      <c r="G104" s="609">
        <f>G113/C95*100</f>
        <v>29.538025606484275</v>
      </c>
      <c r="H104" s="609">
        <f>H113/C95*100</f>
        <v>41.68221550709216</v>
      </c>
    </row>
    <row r="105" spans="1:8" s="3" customFormat="1" ht="13.8" x14ac:dyDescent="0.3">
      <c r="A105" s="606">
        <f>A104+10</f>
        <v>403.7591652740104</v>
      </c>
      <c r="B105" s="609">
        <f>B114/C95*100</f>
        <v>-29.43522931132425</v>
      </c>
      <c r="C105" s="609">
        <f>C114/C95*100</f>
        <v>-16.982622719205004</v>
      </c>
      <c r="D105" s="609">
        <f>D114/C95*100</f>
        <v>-4.5300161270857693</v>
      </c>
      <c r="E105" s="609">
        <f>E114/C95*100</f>
        <v>7.9225904650334789</v>
      </c>
      <c r="F105" s="609">
        <f>F114/C95*100</f>
        <v>20.375197057152715</v>
      </c>
      <c r="G105" s="609">
        <f>G114/C95*100</f>
        <v>32.827803649271949</v>
      </c>
      <c r="H105" s="609">
        <f>H114/C95*100</f>
        <v>45.280410241391181</v>
      </c>
    </row>
    <row r="106" spans="1:8" s="3" customFormat="1" ht="13.8" x14ac:dyDescent="0.3">
      <c r="A106" s="760" t="s">
        <v>404</v>
      </c>
      <c r="B106" s="760"/>
      <c r="C106" s="760"/>
      <c r="D106" s="760"/>
      <c r="E106" s="760"/>
      <c r="F106" s="760"/>
      <c r="G106" s="760"/>
      <c r="H106" s="760"/>
    </row>
    <row r="107" spans="1:8" s="3" customFormat="1" ht="13.8" x14ac:dyDescent="0.3">
      <c r="A107" s="605" t="s">
        <v>332</v>
      </c>
      <c r="B107" s="605">
        <f>C107-0.3</f>
        <v>1.7000000000000004</v>
      </c>
      <c r="C107" s="605">
        <f>D107-0.3</f>
        <v>2.0000000000000004</v>
      </c>
      <c r="D107" s="605">
        <f>E107-0.3</f>
        <v>2.3000000000000003</v>
      </c>
      <c r="E107" s="610">
        <f>B83</f>
        <v>2.6</v>
      </c>
      <c r="F107" s="605">
        <f>E107+0.3</f>
        <v>2.9</v>
      </c>
      <c r="G107" s="605">
        <f>F107+0.3</f>
        <v>3.1999999999999997</v>
      </c>
      <c r="H107" s="605">
        <f>G107+0.3</f>
        <v>3.4999999999999996</v>
      </c>
    </row>
    <row r="108" spans="1:8" s="3" customFormat="1" x14ac:dyDescent="0.3">
      <c r="A108" s="606">
        <f>A109-10</f>
        <v>343.7591652740104</v>
      </c>
      <c r="B108" s="611">
        <f>(B107*A108)-C95</f>
        <v>-388.31941903418226</v>
      </c>
      <c r="C108" s="611">
        <f>(C107*A108)-C95</f>
        <v>-285.19166945197912</v>
      </c>
      <c r="D108" s="611">
        <f>(D107*A108)-C95</f>
        <v>-182.06391986977599</v>
      </c>
      <c r="E108" s="611">
        <f>(E107*A108)-C95</f>
        <v>-78.936170287572963</v>
      </c>
      <c r="F108" s="611">
        <f>(F107*A108)-C95</f>
        <v>24.19157929463006</v>
      </c>
      <c r="G108" s="611">
        <f>(G107*A108)-C95</f>
        <v>127.3193288768332</v>
      </c>
      <c r="H108" s="611">
        <f>(H107*A108)-C95</f>
        <v>230.44707845903622</v>
      </c>
    </row>
    <row r="109" spans="1:8" s="3" customFormat="1" x14ac:dyDescent="0.3">
      <c r="A109" s="606">
        <f>A110-10</f>
        <v>353.7591652740104</v>
      </c>
      <c r="B109" s="611">
        <f>(B107*A109)-C95</f>
        <v>-371.31941903418226</v>
      </c>
      <c r="C109" s="611">
        <f>(C107*A109)-C95</f>
        <v>-265.19166945197912</v>
      </c>
      <c r="D109" s="611">
        <f>(D107*A109)-C95</f>
        <v>-159.06391986977599</v>
      </c>
      <c r="E109" s="611">
        <f>(E107*A109)-C95</f>
        <v>-52.936170287572963</v>
      </c>
      <c r="F109" s="611">
        <f>(F107*A109)-C95</f>
        <v>53.191579294630174</v>
      </c>
      <c r="G109" s="611">
        <f>(G107*A109)-C95</f>
        <v>159.3193288768332</v>
      </c>
      <c r="H109" s="611">
        <f>(H107*A109)-C95</f>
        <v>265.44707845903622</v>
      </c>
    </row>
    <row r="110" spans="1:8" s="3" customFormat="1" x14ac:dyDescent="0.3">
      <c r="A110" s="606">
        <f>A111-10</f>
        <v>363.7591652740104</v>
      </c>
      <c r="B110" s="611">
        <f>(A110*B107)-C95</f>
        <v>-354.31941903418226</v>
      </c>
      <c r="C110" s="611">
        <f>(C107*A110)-C95</f>
        <v>-245.19166945197912</v>
      </c>
      <c r="D110" s="611">
        <f>(D107*A110)-C95</f>
        <v>-136.06391986977599</v>
      </c>
      <c r="E110" s="611">
        <f>(E107*A110)-C95</f>
        <v>-26.936170287572963</v>
      </c>
      <c r="F110" s="611">
        <f>(F107*A110)-C95</f>
        <v>82.191579294630174</v>
      </c>
      <c r="G110" s="611">
        <f>(G107*A110)-C95</f>
        <v>191.3193288768332</v>
      </c>
      <c r="H110" s="611">
        <f>(H107*A110)-C95</f>
        <v>300.44707845903622</v>
      </c>
    </row>
    <row r="111" spans="1:8" s="3" customFormat="1" ht="15.6" x14ac:dyDescent="0.3">
      <c r="A111" s="608">
        <f>B87</f>
        <v>373.7591652740104</v>
      </c>
      <c r="B111" s="611">
        <f>(A111*B107)-C95</f>
        <v>-337.31941903418226</v>
      </c>
      <c r="C111" s="611">
        <f>(A111*C107)-C95</f>
        <v>-225.19166945197912</v>
      </c>
      <c r="D111" s="611">
        <f>(D107*A111)-C95</f>
        <v>-113.06391986977599</v>
      </c>
      <c r="E111" s="612">
        <f>(A111*E107)-C95</f>
        <v>-0.93617028757296339</v>
      </c>
      <c r="F111" s="611">
        <f>(A111*F107)-C95</f>
        <v>111.19157929463017</v>
      </c>
      <c r="G111" s="611">
        <f>(G107*A111)-C95</f>
        <v>223.3193288768332</v>
      </c>
      <c r="H111" s="611">
        <f>(H107*A111)-C95</f>
        <v>335.44707845903622</v>
      </c>
    </row>
    <row r="112" spans="1:8" s="3" customFormat="1" x14ac:dyDescent="0.3">
      <c r="A112" s="606">
        <f>A111+10</f>
        <v>383.7591652740104</v>
      </c>
      <c r="B112" s="611">
        <f>(A112*B107)-C95</f>
        <v>-320.31941903418226</v>
      </c>
      <c r="C112" s="611">
        <f>(C107*A112)-C95</f>
        <v>-205.19166945197912</v>
      </c>
      <c r="D112" s="611">
        <f>(D107*A112)-C95</f>
        <v>-90.063919869775987</v>
      </c>
      <c r="E112" s="611">
        <f>(E107*A112)-C95</f>
        <v>25.063829712427037</v>
      </c>
      <c r="F112" s="611">
        <f>(F107*A112)-C95</f>
        <v>140.19157929463017</v>
      </c>
      <c r="G112" s="611">
        <f>(G107*A112)-C95</f>
        <v>255.3193288768332</v>
      </c>
      <c r="H112" s="611">
        <f>(H107*A112)-C95</f>
        <v>370.44707845903622</v>
      </c>
    </row>
    <row r="113" spans="1:8" s="3" customFormat="1" x14ac:dyDescent="0.3">
      <c r="A113" s="606">
        <f>A112+10</f>
        <v>393.7591652740104</v>
      </c>
      <c r="B113" s="611">
        <f>(A113*B107)-C95</f>
        <v>-303.31941903418215</v>
      </c>
      <c r="C113" s="611">
        <f>(C107*A113)-C95</f>
        <v>-185.19166945197901</v>
      </c>
      <c r="D113" s="611">
        <f>(D107*A113)-C95</f>
        <v>-67.063919869775987</v>
      </c>
      <c r="E113" s="611">
        <f>(E107*A113)-C95</f>
        <v>51.063829712427037</v>
      </c>
      <c r="F113" s="611">
        <f>(F107*A113)-C95</f>
        <v>169.19157929463017</v>
      </c>
      <c r="G113" s="611">
        <f>(G107*A113)-C95</f>
        <v>287.3193288768332</v>
      </c>
      <c r="H113" s="611">
        <f>(H107*A113)-C95</f>
        <v>405.44707845903622</v>
      </c>
    </row>
    <row r="114" spans="1:8" x14ac:dyDescent="0.3">
      <c r="A114" s="606">
        <f>A113+10</f>
        <v>403.7591652740104</v>
      </c>
      <c r="B114" s="611">
        <f>(B107*A114)-C95</f>
        <v>-286.31941903418215</v>
      </c>
      <c r="C114" s="611">
        <f>(C107*A114)-C95</f>
        <v>-165.19166945197901</v>
      </c>
      <c r="D114" s="611">
        <f>(D107*A114)-C95</f>
        <v>-44.063919869775987</v>
      </c>
      <c r="E114" s="611">
        <f>(E107*A114)-C95</f>
        <v>77.06382971242715</v>
      </c>
      <c r="F114" s="611">
        <f>(F107*A114)-C95</f>
        <v>198.19157929463017</v>
      </c>
      <c r="G114" s="611">
        <f>(G107*A114)-C95</f>
        <v>319.3193288768332</v>
      </c>
      <c r="H114" s="611">
        <f>(A114*H107)-C95</f>
        <v>440.44707845903622</v>
      </c>
    </row>
  </sheetData>
  <mergeCells count="18">
    <mergeCell ref="C77:D77"/>
    <mergeCell ref="A82:C82"/>
    <mergeCell ref="D82:F82"/>
    <mergeCell ref="A97:H97"/>
    <mergeCell ref="A106:H106"/>
    <mergeCell ref="A95:B95"/>
    <mergeCell ref="A1:H1"/>
    <mergeCell ref="C65:D65"/>
    <mergeCell ref="C23:D23"/>
    <mergeCell ref="C26:D26"/>
    <mergeCell ref="C29:D29"/>
    <mergeCell ref="C32:D32"/>
    <mergeCell ref="C38:D38"/>
    <mergeCell ref="C53:D53"/>
    <mergeCell ref="F63:G63"/>
    <mergeCell ref="C56:D56"/>
    <mergeCell ref="C60:D60"/>
    <mergeCell ref="C63:D63"/>
  </mergeCells>
  <pageMargins left="0.70866141732283472" right="0.70866141732283472" top="0.74803149606299213" bottom="0.74803149606299213" header="0.51181102362204722" footer="0.51181102362204722"/>
  <pageSetup scale="55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7"/>
  <sheetViews>
    <sheetView showGridLines="0" topLeftCell="A55" zoomScale="95" zoomScaleNormal="95" workbookViewId="0">
      <selection activeCell="M80" sqref="M80"/>
    </sheetView>
  </sheetViews>
  <sheetFormatPr baseColWidth="10" defaultColWidth="10.6640625" defaultRowHeight="14.4" x14ac:dyDescent="0.3"/>
  <cols>
    <col min="1" max="1" width="27.88671875" style="1" customWidth="1"/>
    <col min="2" max="2" width="10.5546875" style="1" bestFit="1" customWidth="1"/>
    <col min="3" max="3" width="10" style="1" customWidth="1"/>
    <col min="4" max="4" width="10.44140625" style="2" customWidth="1"/>
    <col min="5" max="5" width="11" style="1" customWidth="1"/>
    <col min="6" max="6" width="8.5546875" style="1" customWidth="1"/>
    <col min="7" max="7" width="13.5546875" style="1" bestFit="1" customWidth="1"/>
    <col min="8" max="8" width="6.5546875" style="1" bestFit="1" customWidth="1"/>
    <col min="9" max="10" width="11.5546875" style="1" customWidth="1"/>
    <col min="11" max="11" width="8.88671875" style="1" customWidth="1"/>
    <col min="12" max="16384" width="10.6640625" style="1"/>
  </cols>
  <sheetData>
    <row r="1" spans="1:10" s="3" customFormat="1" ht="21.6" thickBot="1" x14ac:dyDescent="0.45">
      <c r="A1" s="664" t="s">
        <v>428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Proy'!B29</f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G7" s="10"/>
      <c r="H7" s="11"/>
      <c r="I7" s="12"/>
      <c r="J7" s="13"/>
    </row>
    <row r="8" spans="1:10" s="3" customFormat="1" ht="13.8" x14ac:dyDescent="0.3">
      <c r="A8" s="225"/>
      <c r="B8" s="87"/>
      <c r="C8" s="18"/>
      <c r="D8" s="88"/>
      <c r="E8" s="89"/>
    </row>
    <row r="9" spans="1:10" s="3" customFormat="1" ht="13.8" x14ac:dyDescent="0.3">
      <c r="A9" s="209" t="s">
        <v>246</v>
      </c>
      <c r="B9" s="169">
        <v>0</v>
      </c>
      <c r="C9" s="18" t="s">
        <v>247</v>
      </c>
      <c r="D9" s="117">
        <f>Cotizaciones!F8</f>
        <v>0</v>
      </c>
      <c r="E9" s="146">
        <f t="shared" ref="E9:E20" si="0">B9*D9</f>
        <v>0</v>
      </c>
      <c r="J9" s="3" t="s">
        <v>363</v>
      </c>
    </row>
    <row r="10" spans="1:10" s="3" customFormat="1" ht="13.8" x14ac:dyDescent="0.3">
      <c r="A10" s="209" t="s">
        <v>250</v>
      </c>
      <c r="B10" s="169">
        <v>0</v>
      </c>
      <c r="C10" s="18" t="s">
        <v>247</v>
      </c>
      <c r="D10" s="117">
        <f>Cotizaciones!F18</f>
        <v>17</v>
      </c>
      <c r="E10" s="146">
        <f t="shared" si="0"/>
        <v>0</v>
      </c>
    </row>
    <row r="11" spans="1:10" s="3" customFormat="1" ht="13.8" x14ac:dyDescent="0.3">
      <c r="A11" s="209" t="s">
        <v>251</v>
      </c>
      <c r="B11" s="169">
        <v>2</v>
      </c>
      <c r="C11" s="18" t="s">
        <v>247</v>
      </c>
      <c r="D11" s="117">
        <f>Cotizaciones!F17</f>
        <v>5</v>
      </c>
      <c r="E11" s="146">
        <f t="shared" si="0"/>
        <v>10</v>
      </c>
      <c r="G11" s="93">
        <v>41062</v>
      </c>
      <c r="H11" s="93">
        <v>41154</v>
      </c>
      <c r="J11" s="3" t="s">
        <v>429</v>
      </c>
    </row>
    <row r="12" spans="1:10" s="3" customFormat="1" ht="13.8" x14ac:dyDescent="0.3">
      <c r="A12" s="209" t="s">
        <v>345</v>
      </c>
      <c r="B12" s="169">
        <v>1</v>
      </c>
      <c r="C12" s="18" t="s">
        <v>247</v>
      </c>
      <c r="D12" s="117">
        <f>Cotizaciones!F22</f>
        <v>42</v>
      </c>
      <c r="E12" s="146">
        <f t="shared" si="0"/>
        <v>42</v>
      </c>
      <c r="G12" s="93">
        <v>41184</v>
      </c>
      <c r="J12" s="3" t="s">
        <v>261</v>
      </c>
    </row>
    <row r="13" spans="1:10" s="3" customFormat="1" ht="13.8" x14ac:dyDescent="0.3">
      <c r="A13" s="209" t="s">
        <v>411</v>
      </c>
      <c r="B13" s="169">
        <v>1</v>
      </c>
      <c r="C13" s="18" t="s">
        <v>247</v>
      </c>
      <c r="D13" s="117">
        <f>Cotizaciones!F17</f>
        <v>5</v>
      </c>
      <c r="E13" s="146">
        <f t="shared" si="0"/>
        <v>5</v>
      </c>
      <c r="G13" s="93">
        <v>41215</v>
      </c>
      <c r="J13" s="3" t="s">
        <v>261</v>
      </c>
    </row>
    <row r="14" spans="1:10" s="3" customFormat="1" ht="13.8" x14ac:dyDescent="0.3">
      <c r="A14" s="209" t="s">
        <v>385</v>
      </c>
      <c r="B14" s="169">
        <v>0</v>
      </c>
      <c r="C14" s="18" t="s">
        <v>247</v>
      </c>
      <c r="D14" s="117">
        <f>Cotizaciones!F17</f>
        <v>5</v>
      </c>
      <c r="E14" s="146">
        <f t="shared" si="0"/>
        <v>0</v>
      </c>
    </row>
    <row r="15" spans="1:10" s="3" customFormat="1" ht="13.8" x14ac:dyDescent="0.3">
      <c r="A15" s="209" t="s">
        <v>257</v>
      </c>
      <c r="B15" s="169">
        <v>0</v>
      </c>
      <c r="C15" s="18" t="s">
        <v>247</v>
      </c>
      <c r="D15" s="117">
        <f>Cotizaciones!F17</f>
        <v>5</v>
      </c>
      <c r="E15" s="146">
        <f t="shared" si="0"/>
        <v>0</v>
      </c>
    </row>
    <row r="16" spans="1:10" s="3" customFormat="1" ht="13.8" x14ac:dyDescent="0.3">
      <c r="A16" s="209" t="s">
        <v>386</v>
      </c>
      <c r="B16" s="169">
        <v>0</v>
      </c>
      <c r="C16" s="18" t="s">
        <v>247</v>
      </c>
      <c r="D16" s="117">
        <f>Cotizaciones!F10</f>
        <v>0</v>
      </c>
      <c r="E16" s="146">
        <f t="shared" si="0"/>
        <v>0</v>
      </c>
      <c r="G16" s="93">
        <v>41214</v>
      </c>
      <c r="J16" s="3" t="s">
        <v>276</v>
      </c>
    </row>
    <row r="17" spans="1:10" s="3" customFormat="1" ht="13.8" x14ac:dyDescent="0.3">
      <c r="A17" s="209" t="s">
        <v>387</v>
      </c>
      <c r="B17" s="169">
        <v>0</v>
      </c>
      <c r="C17" s="18" t="s">
        <v>247</v>
      </c>
      <c r="D17" s="117">
        <f>Cotizaciones!F17</f>
        <v>5</v>
      </c>
      <c r="E17" s="146">
        <f t="shared" si="0"/>
        <v>0</v>
      </c>
      <c r="J17" s="3" t="s">
        <v>268</v>
      </c>
    </row>
    <row r="18" spans="1:10" s="3" customFormat="1" ht="13.8" x14ac:dyDescent="0.3">
      <c r="A18" s="209" t="s">
        <v>388</v>
      </c>
      <c r="B18" s="169">
        <v>1</v>
      </c>
      <c r="C18" s="18" t="s">
        <v>247</v>
      </c>
      <c r="D18" s="117">
        <f>Cotizaciones!F16</f>
        <v>13</v>
      </c>
      <c r="E18" s="146">
        <f t="shared" si="0"/>
        <v>13</v>
      </c>
      <c r="G18" s="93">
        <v>41245</v>
      </c>
      <c r="J18" s="3" t="s">
        <v>383</v>
      </c>
    </row>
    <row r="19" spans="1:10" s="3" customFormat="1" ht="13.8" x14ac:dyDescent="0.3">
      <c r="A19" s="209" t="s">
        <v>262</v>
      </c>
      <c r="B19" s="169">
        <v>0</v>
      </c>
      <c r="C19" s="18" t="s">
        <v>247</v>
      </c>
      <c r="D19" s="117">
        <f>Cotizaciones!F15</f>
        <v>1</v>
      </c>
      <c r="E19" s="146">
        <f t="shared" si="0"/>
        <v>0</v>
      </c>
    </row>
    <row r="20" spans="1:10" s="3" customFormat="1" ht="13.8" x14ac:dyDescent="0.3">
      <c r="A20" s="209" t="s">
        <v>263</v>
      </c>
      <c r="B20" s="169">
        <v>0</v>
      </c>
      <c r="C20" s="18" t="s">
        <v>247</v>
      </c>
      <c r="D20" s="117">
        <f>Cotizaciones!F5</f>
        <v>0</v>
      </c>
      <c r="E20" s="146">
        <f t="shared" si="0"/>
        <v>0</v>
      </c>
    </row>
    <row r="21" spans="1:10" s="3" customFormat="1" ht="13.8" x14ac:dyDescent="0.3">
      <c r="A21" s="209" t="s">
        <v>412</v>
      </c>
      <c r="B21" s="169">
        <v>1</v>
      </c>
      <c r="C21" s="18" t="s">
        <v>247</v>
      </c>
      <c r="D21" s="117">
        <f>Cotizaciones!F14</f>
        <v>5</v>
      </c>
      <c r="E21" s="146">
        <f>B21*D21</f>
        <v>5</v>
      </c>
      <c r="G21" s="93">
        <v>41183</v>
      </c>
      <c r="J21" s="3" t="s">
        <v>408</v>
      </c>
    </row>
    <row r="22" spans="1:10" s="3" customFormat="1" ht="13.8" x14ac:dyDescent="0.3">
      <c r="A22" s="209" t="s">
        <v>413</v>
      </c>
      <c r="B22" s="169">
        <v>0.5</v>
      </c>
      <c r="C22" s="18" t="s">
        <v>247</v>
      </c>
      <c r="D22" s="117">
        <f>Cotizaciones!F6</f>
        <v>5</v>
      </c>
      <c r="E22" s="146">
        <f>D22*B22</f>
        <v>2.5</v>
      </c>
      <c r="G22" s="93"/>
      <c r="J22" s="3" t="s">
        <v>408</v>
      </c>
    </row>
    <row r="23" spans="1:10" s="3" customFormat="1" ht="13.8" x14ac:dyDescent="0.3">
      <c r="A23" s="210"/>
      <c r="B23" s="20"/>
      <c r="C23" s="667" t="s">
        <v>265</v>
      </c>
      <c r="D23" s="667"/>
      <c r="E23" s="141">
        <f>SUM(E9:E22)</f>
        <v>77.5</v>
      </c>
      <c r="F23" s="159">
        <f>E23/E72</f>
        <v>0.10390515340959065</v>
      </c>
      <c r="G23" s="141">
        <f>E23*D1</f>
        <v>0</v>
      </c>
    </row>
    <row r="24" spans="1:10" s="3" customFormat="1" ht="13.8" x14ac:dyDescent="0.3">
      <c r="A24" s="208" t="s">
        <v>205</v>
      </c>
      <c r="B24" s="23"/>
      <c r="C24" s="12"/>
      <c r="D24" s="24"/>
      <c r="E24" s="25"/>
      <c r="F24" s="15"/>
    </row>
    <row r="25" spans="1:10" s="3" customFormat="1" ht="13.8" x14ac:dyDescent="0.3">
      <c r="A25" s="212" t="s">
        <v>430</v>
      </c>
      <c r="B25" s="171">
        <v>0.33</v>
      </c>
      <c r="C25" s="18" t="s">
        <v>431</v>
      </c>
      <c r="D25" s="117">
        <f>Cotizaciones!E42</f>
        <v>300</v>
      </c>
      <c r="E25" s="217">
        <f>B25*D25</f>
        <v>99</v>
      </c>
      <c r="J25" s="3" t="s">
        <v>432</v>
      </c>
    </row>
    <row r="26" spans="1:10" s="3" customFormat="1" ht="13.8" x14ac:dyDescent="0.3">
      <c r="A26" s="212"/>
      <c r="B26" s="30"/>
      <c r="C26" s="667" t="s">
        <v>270</v>
      </c>
      <c r="D26" s="667"/>
      <c r="E26" s="141">
        <f>SUM(E25:E25)</f>
        <v>99</v>
      </c>
      <c r="F26" s="159">
        <f>E26/E72</f>
        <v>0.13273045403289643</v>
      </c>
      <c r="G26" s="141">
        <f>E26*D1</f>
        <v>0</v>
      </c>
    </row>
    <row r="27" spans="1:10" s="3" customFormat="1" ht="13.8" x14ac:dyDescent="0.3">
      <c r="A27" s="212"/>
      <c r="B27" s="27"/>
      <c r="C27" s="18"/>
      <c r="D27" s="28"/>
      <c r="E27" s="29"/>
    </row>
    <row r="28" spans="1:10" s="3" customFormat="1" ht="13.8" x14ac:dyDescent="0.3">
      <c r="A28" s="208" t="s">
        <v>206</v>
      </c>
      <c r="B28" s="11">
        <v>1</v>
      </c>
      <c r="C28" s="12" t="s">
        <v>247</v>
      </c>
      <c r="D28" s="24">
        <f>'Resumen Proy'!D29</f>
        <v>280</v>
      </c>
      <c r="E28" s="172">
        <f>D28*B28</f>
        <v>280</v>
      </c>
      <c r="F28" s="15"/>
    </row>
    <row r="29" spans="1:10" s="3" customFormat="1" ht="13.8" x14ac:dyDescent="0.3">
      <c r="A29" s="212"/>
      <c r="B29" s="87"/>
      <c r="C29" s="667" t="s">
        <v>271</v>
      </c>
      <c r="D29" s="667"/>
      <c r="E29" s="176">
        <f>E28</f>
        <v>280</v>
      </c>
      <c r="F29" s="22">
        <f>E29/E72</f>
        <v>0.37539926393142425</v>
      </c>
      <c r="G29" s="21">
        <f>E29*D1</f>
        <v>0</v>
      </c>
    </row>
    <row r="30" spans="1:10" s="3" customFormat="1" ht="13.8" x14ac:dyDescent="0.3">
      <c r="A30" s="212"/>
      <c r="B30" s="87"/>
      <c r="C30" s="18"/>
      <c r="D30" s="28"/>
      <c r="E30" s="29"/>
    </row>
    <row r="31" spans="1:10" s="3" customFormat="1" ht="13.8" x14ac:dyDescent="0.3">
      <c r="A31" s="208" t="s">
        <v>207</v>
      </c>
      <c r="B31" s="281">
        <v>20</v>
      </c>
      <c r="C31" s="12" t="s">
        <v>272</v>
      </c>
      <c r="D31" s="173">
        <f>B31</f>
        <v>20</v>
      </c>
      <c r="E31" s="174">
        <f>D31</f>
        <v>20</v>
      </c>
      <c r="F31" s="15"/>
    </row>
    <row r="32" spans="1:10" s="3" customFormat="1" ht="13.8" x14ac:dyDescent="0.3">
      <c r="A32" s="212"/>
      <c r="B32" s="87"/>
      <c r="C32" s="667" t="s">
        <v>273</v>
      </c>
      <c r="D32" s="667"/>
      <c r="E32" s="141">
        <f>E31</f>
        <v>20</v>
      </c>
      <c r="F32" s="159">
        <f>E32/E72</f>
        <v>2.6814233137958877E-2</v>
      </c>
      <c r="G32" s="141">
        <f>E32*D1</f>
        <v>0</v>
      </c>
    </row>
    <row r="34" spans="1:10" s="3" customFormat="1" ht="13.8" x14ac:dyDescent="0.3">
      <c r="A34" s="208" t="s">
        <v>140</v>
      </c>
      <c r="B34" s="11"/>
      <c r="C34" s="12"/>
      <c r="D34" s="24"/>
      <c r="E34" s="25"/>
      <c r="F34" s="15"/>
    </row>
    <row r="35" spans="1:10" s="3" customFormat="1" ht="13.8" x14ac:dyDescent="0.3">
      <c r="A35" s="212" t="s">
        <v>366</v>
      </c>
      <c r="B35" s="170">
        <v>0.04</v>
      </c>
      <c r="C35" s="18" t="s">
        <v>275</v>
      </c>
      <c r="D35" s="161">
        <f>Cotizaciones!I25+Cotizaciones!F26</f>
        <v>1025</v>
      </c>
      <c r="E35" s="146">
        <f>D35*B35</f>
        <v>41</v>
      </c>
      <c r="G35" s="3" t="str">
        <f>+A12</f>
        <v>Siembra Directa</v>
      </c>
      <c r="J35" s="3" t="s">
        <v>336</v>
      </c>
    </row>
    <row r="36" spans="1:10" s="3" customFormat="1" ht="13.8" x14ac:dyDescent="0.3">
      <c r="A36" s="212" t="s">
        <v>416</v>
      </c>
      <c r="B36" s="170">
        <v>0</v>
      </c>
      <c r="C36" s="18" t="s">
        <v>275</v>
      </c>
      <c r="D36" s="161">
        <f>Cotizaciones!I34+Cotizaciones!F26</f>
        <v>645</v>
      </c>
      <c r="E36" s="146">
        <f>D36*B36</f>
        <v>0</v>
      </c>
      <c r="G36" s="3" t="str">
        <f>+A16</f>
        <v>Fertilización</v>
      </c>
      <c r="J36" s="3" t="s">
        <v>336</v>
      </c>
    </row>
    <row r="37" spans="1:10" s="3" customFormat="1" ht="13.8" x14ac:dyDescent="0.3">
      <c r="A37" s="212"/>
      <c r="B37" s="18"/>
      <c r="C37" s="667" t="s">
        <v>280</v>
      </c>
      <c r="D37" s="667"/>
      <c r="E37" s="176">
        <f>SUM(E35:E36)</f>
        <v>41</v>
      </c>
      <c r="F37" s="159">
        <f>E37/E72</f>
        <v>5.4969177932815701E-2</v>
      </c>
      <c r="G37" s="141">
        <f>E37*D1</f>
        <v>0</v>
      </c>
    </row>
    <row r="38" spans="1:10" s="3" customFormat="1" ht="13.8" x14ac:dyDescent="0.3">
      <c r="A38" s="208" t="s">
        <v>118</v>
      </c>
      <c r="B38" s="11"/>
      <c r="C38" s="12"/>
      <c r="D38" s="24"/>
      <c r="E38" s="25"/>
      <c r="F38" s="15"/>
    </row>
    <row r="39" spans="1:10" s="3" customFormat="1" ht="13.8" x14ac:dyDescent="0.3">
      <c r="A39" s="212"/>
      <c r="B39" s="87"/>
      <c r="C39" s="18"/>
      <c r="D39" s="28"/>
      <c r="E39" s="29"/>
    </row>
    <row r="40" spans="1:10" s="3" customFormat="1" ht="13.8" x14ac:dyDescent="0.3">
      <c r="A40" s="212" t="s">
        <v>123</v>
      </c>
      <c r="B40" s="171">
        <v>0.2</v>
      </c>
      <c r="C40" s="18" t="s">
        <v>283</v>
      </c>
      <c r="D40" s="117">
        <f>Cotizaciones!I21</f>
        <v>12</v>
      </c>
      <c r="E40" s="117">
        <f>B40*D40</f>
        <v>2.4000000000000004</v>
      </c>
      <c r="G40" s="3" t="str">
        <f>+A11</f>
        <v>Barbecho Quimico</v>
      </c>
      <c r="J40" s="3" t="s">
        <v>253</v>
      </c>
    </row>
    <row r="41" spans="1:10" s="3" customFormat="1" ht="13.8" x14ac:dyDescent="0.3">
      <c r="A41" s="212" t="s">
        <v>68</v>
      </c>
      <c r="B41" s="171">
        <v>7</v>
      </c>
      <c r="C41" s="18" t="s">
        <v>283</v>
      </c>
      <c r="D41" s="161">
        <f>Cotizaciones!I28</f>
        <v>4.5</v>
      </c>
      <c r="E41" s="117">
        <f>B41*D41</f>
        <v>31.5</v>
      </c>
      <c r="G41" s="3" t="str">
        <f>+G40</f>
        <v>Barbecho Quimico</v>
      </c>
      <c r="J41" s="3" t="s">
        <v>253</v>
      </c>
    </row>
    <row r="42" spans="1:10" s="3" customFormat="1" ht="13.8" x14ac:dyDescent="0.3">
      <c r="A42" s="212" t="s">
        <v>7</v>
      </c>
      <c r="B42" s="171">
        <v>0.5</v>
      </c>
      <c r="C42" s="18" t="s">
        <v>283</v>
      </c>
      <c r="D42" s="117">
        <f>Cotizaciones!I5</f>
        <v>4.5999999999999996</v>
      </c>
      <c r="E42" s="117">
        <f>B42*D42</f>
        <v>2.2999999999999998</v>
      </c>
      <c r="G42" s="3" t="s">
        <v>417</v>
      </c>
      <c r="J42" s="3" t="s">
        <v>253</v>
      </c>
    </row>
    <row r="43" spans="1:10" s="3" customFormat="1" ht="13.8" x14ac:dyDescent="0.3">
      <c r="A43" s="212" t="s">
        <v>141</v>
      </c>
      <c r="B43" s="171">
        <v>0</v>
      </c>
      <c r="C43" s="18" t="s">
        <v>283</v>
      </c>
      <c r="D43" s="117">
        <f>Cotizaciones!I27</f>
        <v>6</v>
      </c>
      <c r="E43" s="117">
        <f>B43*D43</f>
        <v>0</v>
      </c>
    </row>
    <row r="44" spans="1:10" s="3" customFormat="1" ht="13.8" x14ac:dyDescent="0.3">
      <c r="A44" s="212" t="s">
        <v>284</v>
      </c>
      <c r="B44" s="171">
        <v>0</v>
      </c>
      <c r="C44" s="18" t="s">
        <v>283</v>
      </c>
      <c r="D44" s="117">
        <f>Cotizaciones!I45</f>
        <v>2.6</v>
      </c>
      <c r="E44" s="146">
        <v>0</v>
      </c>
    </row>
    <row r="45" spans="1:10" s="3" customFormat="1" ht="13.8" x14ac:dyDescent="0.3">
      <c r="A45" s="212" t="s">
        <v>44</v>
      </c>
      <c r="B45" s="171">
        <f>1/6</f>
        <v>0.16666666666666666</v>
      </c>
      <c r="C45" s="18" t="s">
        <v>88</v>
      </c>
      <c r="D45" s="117">
        <f>Cotizaciones!I16</f>
        <v>170</v>
      </c>
      <c r="E45" s="117">
        <f>B45*D45</f>
        <v>28.333333333333332</v>
      </c>
      <c r="G45" s="3" t="str">
        <f>+A13</f>
        <v>Pulverizacion Post-emergente (CL)</v>
      </c>
      <c r="J45" s="3" t="s">
        <v>408</v>
      </c>
    </row>
    <row r="46" spans="1:10" s="3" customFormat="1" ht="13.8" x14ac:dyDescent="0.3">
      <c r="A46" s="212" t="s">
        <v>130</v>
      </c>
      <c r="B46" s="171">
        <v>1.4999999999999999E-2</v>
      </c>
      <c r="C46" s="18" t="s">
        <v>283</v>
      </c>
      <c r="D46" s="117">
        <f>Cotizaciones!I31</f>
        <v>20</v>
      </c>
      <c r="E46" s="117">
        <f>B46*D46</f>
        <v>0.3</v>
      </c>
      <c r="G46" s="3" t="str">
        <f>+A11</f>
        <v>Barbecho Quimico</v>
      </c>
      <c r="J46" s="3" t="s">
        <v>261</v>
      </c>
    </row>
    <row r="47" spans="1:10" s="3" customFormat="1" ht="13.8" x14ac:dyDescent="0.3">
      <c r="A47" s="212" t="s">
        <v>51</v>
      </c>
      <c r="B47" s="171">
        <v>0.8</v>
      </c>
      <c r="C47" s="18" t="s">
        <v>283</v>
      </c>
      <c r="D47" s="117">
        <f>Cotizaciones!I19</f>
        <v>7</v>
      </c>
      <c r="E47" s="117">
        <f>B47*D47</f>
        <v>5.6000000000000005</v>
      </c>
      <c r="G47" s="3" t="str">
        <f>+A18</f>
        <v>Aplicación aerea insecticida</v>
      </c>
      <c r="J47" s="3" t="s">
        <v>383</v>
      </c>
    </row>
    <row r="48" spans="1:10" s="3" customFormat="1" ht="13.8" x14ac:dyDescent="0.3">
      <c r="A48" s="212" t="s">
        <v>136</v>
      </c>
      <c r="B48" s="171">
        <v>3</v>
      </c>
      <c r="C48" s="18" t="s">
        <v>421</v>
      </c>
      <c r="D48" s="117">
        <f>Cotizaciones!I14</f>
        <v>7</v>
      </c>
      <c r="E48" s="117">
        <f>+D48*B48</f>
        <v>21</v>
      </c>
      <c r="G48" s="3" t="str">
        <f>+A21</f>
        <v xml:space="preserve">Monitoreo bb y b </v>
      </c>
      <c r="J48" s="3" t="s">
        <v>261</v>
      </c>
    </row>
    <row r="50" spans="1:7" s="3" customFormat="1" ht="13.8" x14ac:dyDescent="0.3">
      <c r="A50" s="212"/>
      <c r="B50" s="18"/>
      <c r="C50" s="667" t="s">
        <v>288</v>
      </c>
      <c r="D50" s="667"/>
      <c r="E50" s="176">
        <f>SUM(E40:E49)</f>
        <v>91.433333333333323</v>
      </c>
      <c r="F50" s="22">
        <f>E50/E72</f>
        <v>0.12258573582903531</v>
      </c>
      <c r="G50" s="21">
        <f>E50*D1</f>
        <v>0</v>
      </c>
    </row>
    <row r="51" spans="1:7" s="3" customFormat="1" ht="13.8" x14ac:dyDescent="0.3">
      <c r="A51" s="212"/>
      <c r="B51" s="87"/>
      <c r="C51" s="18"/>
      <c r="D51" s="28"/>
      <c r="E51" s="29"/>
    </row>
    <row r="52" spans="1:7" s="3" customFormat="1" ht="13.8" x14ac:dyDescent="0.3">
      <c r="A52" s="208" t="s">
        <v>289</v>
      </c>
      <c r="B52" s="11">
        <v>1</v>
      </c>
      <c r="C52" s="12" t="s">
        <v>290</v>
      </c>
      <c r="D52" s="13">
        <v>52</v>
      </c>
      <c r="E52" s="172">
        <f>+D52*B52</f>
        <v>52</v>
      </c>
      <c r="F52" s="15"/>
    </row>
    <row r="53" spans="1:7" s="3" customFormat="1" ht="13.8" x14ac:dyDescent="0.3">
      <c r="A53" s="213"/>
      <c r="B53" s="180"/>
      <c r="C53" s="667" t="s">
        <v>291</v>
      </c>
      <c r="D53" s="667"/>
      <c r="E53" s="176">
        <f>E52</f>
        <v>52</v>
      </c>
      <c r="F53" s="22">
        <f>E53/E72</f>
        <v>6.9717006158693084E-2</v>
      </c>
      <c r="G53" s="21">
        <f>E53*D1</f>
        <v>0</v>
      </c>
    </row>
    <row r="54" spans="1:7" s="3" customFormat="1" ht="13.8" x14ac:dyDescent="0.3">
      <c r="A54" s="208" t="s">
        <v>300</v>
      </c>
      <c r="B54" s="11"/>
      <c r="C54" s="12"/>
      <c r="D54" s="24"/>
      <c r="E54" s="25"/>
      <c r="F54" s="15"/>
    </row>
    <row r="55" spans="1:7" s="3" customFormat="1" ht="13.8" x14ac:dyDescent="0.3">
      <c r="A55" s="213" t="s">
        <v>301</v>
      </c>
      <c r="B55" s="181">
        <v>0</v>
      </c>
      <c r="C55" s="18" t="s">
        <v>302</v>
      </c>
      <c r="D55" s="145">
        <f>Cotizaciones!F24</f>
        <v>3.3</v>
      </c>
      <c r="E55" s="146">
        <f>D55*B55*B76</f>
        <v>0</v>
      </c>
    </row>
    <row r="56" spans="1:7" s="3" customFormat="1" ht="13.8" x14ac:dyDescent="0.3">
      <c r="A56" s="213" t="s">
        <v>303</v>
      </c>
      <c r="B56" s="181">
        <v>0</v>
      </c>
      <c r="C56" s="18" t="s">
        <v>355</v>
      </c>
      <c r="D56" s="145">
        <f>Cotizaciones!I41/210</f>
        <v>1.9523809523809523</v>
      </c>
      <c r="E56" s="146">
        <f>D56*B56*B76</f>
        <v>0</v>
      </c>
    </row>
    <row r="57" spans="1:7" s="3" customFormat="1" ht="13.8" x14ac:dyDescent="0.3">
      <c r="A57" s="213" t="s">
        <v>305</v>
      </c>
      <c r="B57" s="181">
        <v>0</v>
      </c>
      <c r="C57" s="18" t="s">
        <v>371</v>
      </c>
      <c r="D57" s="146">
        <f>Cotizaciones!F31</f>
        <v>3</v>
      </c>
      <c r="E57" s="146">
        <f>+D57*B57*$B$76</f>
        <v>0</v>
      </c>
    </row>
    <row r="58" spans="1:7" s="3" customFormat="1" ht="13.8" x14ac:dyDescent="0.3">
      <c r="A58" s="213" t="s">
        <v>306</v>
      </c>
      <c r="B58" s="181">
        <v>0.5</v>
      </c>
      <c r="C58" s="18" t="s">
        <v>371</v>
      </c>
      <c r="D58" s="146">
        <f>Cotizaciones!F35</f>
        <v>5</v>
      </c>
      <c r="E58" s="146">
        <f>+D58*B58*$B$76</f>
        <v>6</v>
      </c>
    </row>
    <row r="59" spans="1:7" s="3" customFormat="1" ht="13.8" x14ac:dyDescent="0.3">
      <c r="A59" s="213" t="s">
        <v>83</v>
      </c>
      <c r="B59" s="181">
        <v>0.5</v>
      </c>
      <c r="C59" s="18" t="s">
        <v>371</v>
      </c>
      <c r="D59" s="146">
        <f>Cotizaciones!F36</f>
        <v>6.5</v>
      </c>
      <c r="E59" s="146">
        <f>+D59*B59*$B$76</f>
        <v>7.8</v>
      </c>
    </row>
    <row r="60" spans="1:7" s="3" customFormat="1" ht="13.8" x14ac:dyDescent="0.3">
      <c r="A60" s="213" t="s">
        <v>307</v>
      </c>
      <c r="B60" s="181">
        <v>0.5</v>
      </c>
      <c r="C60" s="18" t="s">
        <v>371</v>
      </c>
      <c r="D60" s="146">
        <f>Cotizaciones!F5</f>
        <v>0</v>
      </c>
      <c r="E60" s="146">
        <f>+D60*B60*$B$76</f>
        <v>0</v>
      </c>
    </row>
    <row r="61" spans="1:7" s="3" customFormat="1" ht="13.8" x14ac:dyDescent="0.3">
      <c r="A61" s="213" t="s">
        <v>308</v>
      </c>
      <c r="B61" s="181">
        <v>1</v>
      </c>
      <c r="C61" s="18" t="s">
        <v>371</v>
      </c>
      <c r="D61" s="146">
        <f>Cotizaciones!F25</f>
        <v>20</v>
      </c>
      <c r="E61" s="146">
        <f>+D61*B61*$B$76</f>
        <v>48</v>
      </c>
    </row>
    <row r="62" spans="1:7" s="3" customFormat="1" ht="13.8" x14ac:dyDescent="0.3">
      <c r="A62" s="213" t="s">
        <v>309</v>
      </c>
      <c r="B62" s="181">
        <v>0</v>
      </c>
      <c r="C62" s="18" t="s">
        <v>295</v>
      </c>
      <c r="D62" s="146">
        <f>B62%*B82</f>
        <v>0</v>
      </c>
      <c r="E62" s="146">
        <f>D62</f>
        <v>0</v>
      </c>
    </row>
    <row r="63" spans="1:7" s="3" customFormat="1" ht="13.8" x14ac:dyDescent="0.3">
      <c r="A63" s="213"/>
      <c r="B63" s="215"/>
      <c r="C63" s="667" t="s">
        <v>310</v>
      </c>
      <c r="D63" s="667"/>
      <c r="E63" s="176">
        <f>SUM(E57:E62)</f>
        <v>61.8</v>
      </c>
      <c r="F63" s="159">
        <f>E63/E72</f>
        <v>8.2855980396292925E-2</v>
      </c>
      <c r="G63" s="141">
        <f>E63*D1</f>
        <v>0</v>
      </c>
    </row>
    <row r="66" spans="1:7" s="3" customFormat="1" ht="13.8" x14ac:dyDescent="0.3">
      <c r="A66" s="208" t="s">
        <v>292</v>
      </c>
      <c r="B66" s="11">
        <v>4.2</v>
      </c>
      <c r="C66" s="12" t="s">
        <v>423</v>
      </c>
      <c r="D66" s="177">
        <f>B66%*B86</f>
        <v>23.139199999999999</v>
      </c>
      <c r="E66" s="178">
        <f>D66</f>
        <v>23.139199999999999</v>
      </c>
      <c r="F66" s="15"/>
    </row>
    <row r="67" spans="1:7" s="3" customFormat="1" ht="13.8" x14ac:dyDescent="0.3">
      <c r="A67" s="213"/>
      <c r="B67" s="180"/>
      <c r="C67" s="667" t="s">
        <v>293</v>
      </c>
      <c r="D67" s="667"/>
      <c r="E67" s="176">
        <f>E66</f>
        <v>23.139199999999999</v>
      </c>
      <c r="F67" s="159">
        <f>E67/E72</f>
        <v>3.1022995171292901E-2</v>
      </c>
      <c r="G67" s="141">
        <f>E67*D1</f>
        <v>0</v>
      </c>
    </row>
    <row r="68" spans="1:7" s="3" customFormat="1" ht="13.8" x14ac:dyDescent="0.3">
      <c r="A68" s="213"/>
      <c r="B68" s="180"/>
      <c r="C68" s="7"/>
      <c r="D68" s="7"/>
      <c r="E68" s="227"/>
    </row>
    <row r="69" spans="1:7" s="3" customFormat="1" ht="13.8" x14ac:dyDescent="0.3">
      <c r="A69" s="208" t="s">
        <v>294</v>
      </c>
      <c r="B69" s="11">
        <v>0</v>
      </c>
      <c r="C69" s="12" t="s">
        <v>295</v>
      </c>
      <c r="D69" s="13">
        <v>0</v>
      </c>
      <c r="E69" s="172">
        <v>0</v>
      </c>
      <c r="F69" s="15"/>
    </row>
    <row r="70" spans="1:7" s="3" customFormat="1" ht="13.8" x14ac:dyDescent="0.3">
      <c r="A70" s="212"/>
      <c r="B70" s="87"/>
      <c r="C70" s="667" t="s">
        <v>296</v>
      </c>
      <c r="D70" s="667"/>
      <c r="E70" s="176">
        <f>E69</f>
        <v>0</v>
      </c>
      <c r="F70" s="767">
        <f>E70/E72</f>
        <v>0</v>
      </c>
      <c r="G70" s="767"/>
    </row>
    <row r="71" spans="1:7" s="3" customFormat="1" ht="13.8" x14ac:dyDescent="0.3">
      <c r="A71" s="212"/>
      <c r="B71" s="87"/>
      <c r="C71" s="7"/>
      <c r="D71" s="7"/>
      <c r="E71" s="38"/>
    </row>
    <row r="72" spans="1:7" s="3" customFormat="1" ht="13.8" x14ac:dyDescent="0.3">
      <c r="A72" s="224"/>
      <c r="B72" s="226"/>
      <c r="C72" s="673" t="s">
        <v>317</v>
      </c>
      <c r="D72" s="673"/>
      <c r="E72" s="220">
        <f>E23+E26+E29+E32+E37+E50+E53+E63+E67+E70</f>
        <v>745.87253333333319</v>
      </c>
      <c r="F72" s="228">
        <f>F23+F26+F29+F32+F37+F50+F63+F67+F53</f>
        <v>1.0000000000000002</v>
      </c>
      <c r="G72" s="21"/>
    </row>
    <row r="73" spans="1:7" s="3" customFormat="1" ht="13.8" x14ac:dyDescent="0.3">
      <c r="A73" s="30"/>
      <c r="B73" s="30"/>
      <c r="C73" s="18"/>
      <c r="D73" s="28"/>
      <c r="E73" s="18"/>
    </row>
    <row r="74" spans="1:7" s="3" customFormat="1" ht="13.8" x14ac:dyDescent="0.3">
      <c r="D74" s="28"/>
      <c r="E74" s="18"/>
    </row>
    <row r="75" spans="1:7" s="3" customFormat="1" thickBot="1" x14ac:dyDescent="0.35">
      <c r="B75" s="3" t="s">
        <v>153</v>
      </c>
      <c r="D75" s="749"/>
      <c r="E75" s="749"/>
      <c r="F75" s="749"/>
      <c r="G75" s="33"/>
    </row>
    <row r="76" spans="1:7" s="3" customFormat="1" ht="13.8" x14ac:dyDescent="0.3">
      <c r="A76" s="240" t="s">
        <v>315</v>
      </c>
      <c r="B76" s="265">
        <v>2.4</v>
      </c>
      <c r="C76" s="194" t="s">
        <v>316</v>
      </c>
      <c r="D76" s="749"/>
      <c r="E76" s="749"/>
      <c r="F76" s="749"/>
      <c r="G76" s="33"/>
    </row>
    <row r="77" spans="1:7" s="3" customFormat="1" ht="13.8" x14ac:dyDescent="0.3">
      <c r="A77" s="241" t="s">
        <v>341</v>
      </c>
      <c r="B77" s="195">
        <f>Cotizaciones!B12</f>
        <v>450</v>
      </c>
      <c r="C77" s="196" t="s">
        <v>275</v>
      </c>
      <c r="D77" s="28"/>
      <c r="E77" s="18"/>
    </row>
    <row r="78" spans="1:7" s="3" customFormat="1" ht="13.8" x14ac:dyDescent="0.3">
      <c r="A78" s="40" t="s">
        <v>425</v>
      </c>
      <c r="B78" s="195">
        <f>B77*0.08</f>
        <v>36</v>
      </c>
      <c r="C78" s="196" t="s">
        <v>275</v>
      </c>
      <c r="D78" s="28"/>
      <c r="E78" s="18"/>
    </row>
    <row r="79" spans="1:7" s="3" customFormat="1" ht="13.8" x14ac:dyDescent="0.3">
      <c r="A79" s="40" t="s">
        <v>426</v>
      </c>
      <c r="B79" s="195">
        <v>0</v>
      </c>
      <c r="C79" s="196" t="s">
        <v>275</v>
      </c>
      <c r="D79" s="28"/>
      <c r="E79" s="18"/>
    </row>
    <row r="80" spans="1:7" s="3" customFormat="1" ht="13.8" x14ac:dyDescent="0.3">
      <c r="A80" s="40" t="s">
        <v>433</v>
      </c>
      <c r="B80" s="195">
        <f>B77+B78+B79</f>
        <v>486</v>
      </c>
      <c r="C80" s="196" t="s">
        <v>275</v>
      </c>
      <c r="D80" s="28"/>
      <c r="E80" s="18"/>
    </row>
    <row r="81" spans="1:8" s="3" customFormat="1" ht="13.8" x14ac:dyDescent="0.3">
      <c r="A81" s="242" t="s">
        <v>317</v>
      </c>
      <c r="B81" s="244">
        <f>E72</f>
        <v>745.87253333333319</v>
      </c>
      <c r="C81" s="197" t="s">
        <v>21</v>
      </c>
      <c r="D81" s="28"/>
      <c r="E81" s="18"/>
    </row>
    <row r="82" spans="1:8" s="3" customFormat="1" ht="13.8" x14ac:dyDescent="0.3">
      <c r="A82" s="241" t="s">
        <v>160</v>
      </c>
      <c r="B82" s="195">
        <f>+(B77+B78+B79)*B76</f>
        <v>1166.3999999999999</v>
      </c>
      <c r="C82" s="196" t="s">
        <v>318</v>
      </c>
      <c r="D82" s="28"/>
      <c r="E82" s="30"/>
    </row>
    <row r="83" spans="1:8" s="3" customFormat="1" ht="13.8" x14ac:dyDescent="0.3">
      <c r="A83" s="242" t="s">
        <v>321</v>
      </c>
      <c r="B83" s="244">
        <f>+B82-E72</f>
        <v>420.52746666666667</v>
      </c>
      <c r="C83" s="197" t="s">
        <v>318</v>
      </c>
      <c r="D83" s="28"/>
      <c r="E83" s="30"/>
    </row>
    <row r="84" spans="1:8" s="3" customFormat="1" ht="13.8" x14ac:dyDescent="0.3">
      <c r="A84" s="242" t="s">
        <v>325</v>
      </c>
      <c r="B84" s="271">
        <f>B83/B81</f>
        <v>0.56380607660576154</v>
      </c>
      <c r="C84" s="197"/>
      <c r="D84" s="28"/>
      <c r="E84" s="30"/>
    </row>
    <row r="85" spans="1:8" s="3" customFormat="1" ht="13.8" x14ac:dyDescent="0.3">
      <c r="A85" s="241" t="s">
        <v>326</v>
      </c>
      <c r="B85" s="246">
        <f>(E23+E26+E29+E37+E50+E67+E53+E70+E32)/(B80-B62%*B80-D55*B55-D56*B56-D59*B59-D60*B60-D61*B61-D57*B57-D58*B58)</f>
        <v>1.4863064276661233</v>
      </c>
      <c r="C85" s="197"/>
      <c r="D85" s="28"/>
      <c r="E85" s="30"/>
    </row>
    <row r="86" spans="1:8" s="3" customFormat="1" ht="13.8" x14ac:dyDescent="0.3">
      <c r="A86" s="242" t="s">
        <v>164</v>
      </c>
      <c r="B86" s="247">
        <f>E23+E26+E29*0.8+E32*0.9+E37+E50+E70</f>
        <v>550.93333333333328</v>
      </c>
      <c r="C86" s="197"/>
      <c r="D86" s="28"/>
      <c r="E86" s="30"/>
    </row>
    <row r="87" spans="1:8" s="3" customFormat="1" thickBot="1" x14ac:dyDescent="0.35">
      <c r="A87" s="243" t="s">
        <v>327</v>
      </c>
      <c r="B87" s="272">
        <f>B83/B86</f>
        <v>0.76330009680542121</v>
      </c>
      <c r="C87" s="199"/>
      <c r="D87" s="28"/>
      <c r="E87" s="30"/>
    </row>
    <row r="88" spans="1:8" s="3" customFormat="1" ht="13.8" x14ac:dyDescent="0.3">
      <c r="A88" s="668" t="s">
        <v>317</v>
      </c>
      <c r="B88" s="668"/>
      <c r="C88" s="42">
        <f>E72</f>
        <v>745.87253333333319</v>
      </c>
      <c r="D88" s="28"/>
      <c r="E88" s="30"/>
    </row>
    <row r="89" spans="1:8" s="3" customFormat="1" ht="13.8" x14ac:dyDescent="0.3">
      <c r="A89" s="16"/>
      <c r="B89" s="16"/>
      <c r="C89" s="34"/>
      <c r="D89" s="28"/>
      <c r="E89" s="30"/>
    </row>
    <row r="90" spans="1:8" s="3" customFormat="1" ht="13.8" x14ac:dyDescent="0.3">
      <c r="A90" s="669" t="s">
        <v>359</v>
      </c>
      <c r="B90" s="669"/>
      <c r="C90" s="669"/>
      <c r="D90" s="669"/>
      <c r="E90" s="669"/>
      <c r="F90" s="669"/>
      <c r="G90" s="669"/>
      <c r="H90" s="669"/>
    </row>
    <row r="91" spans="1:8" s="3" customFormat="1" ht="13.8" x14ac:dyDescent="0.3">
      <c r="A91" s="43" t="s">
        <v>332</v>
      </c>
      <c r="B91" s="44">
        <f>E91-1.5</f>
        <v>0.89999999999999991</v>
      </c>
      <c r="C91" s="44">
        <f>E91-1</f>
        <v>1.4</v>
      </c>
      <c r="D91" s="44">
        <f>E91-0.5</f>
        <v>1.9</v>
      </c>
      <c r="E91" s="45">
        <f>B76</f>
        <v>2.4</v>
      </c>
      <c r="F91" s="44">
        <f>E91+0.5</f>
        <v>2.9</v>
      </c>
      <c r="G91" s="44">
        <f>E91+0.8</f>
        <v>3.2</v>
      </c>
      <c r="H91" s="46">
        <f>E91+1.2</f>
        <v>3.5999999999999996</v>
      </c>
    </row>
    <row r="92" spans="1:8" s="3" customFormat="1" ht="13.8" x14ac:dyDescent="0.3">
      <c r="A92" s="47">
        <f>A93-10</f>
        <v>456</v>
      </c>
      <c r="B92" s="48">
        <f>B101/C88*100</f>
        <v>-44.977193600908386</v>
      </c>
      <c r="C92" s="48">
        <f>C101/C88*100</f>
        <v>-14.408967823635269</v>
      </c>
      <c r="D92" s="48">
        <f>D101/C88*100</f>
        <v>16.159257953637852</v>
      </c>
      <c r="E92" s="49">
        <f>E101/C88*100</f>
        <v>46.727483730910954</v>
      </c>
      <c r="F92" s="48">
        <f>F101/C88*100</f>
        <v>77.295709508184075</v>
      </c>
      <c r="G92" s="48">
        <f>G101/C88*100</f>
        <v>95.636644974547963</v>
      </c>
      <c r="H92" s="50">
        <f>H101/C88*100</f>
        <v>120.09122559636644</v>
      </c>
    </row>
    <row r="93" spans="1:8" s="3" customFormat="1" ht="13.8" x14ac:dyDescent="0.3">
      <c r="A93" s="47">
        <f>A94-10</f>
        <v>466</v>
      </c>
      <c r="B93" s="48">
        <f>B102/C88*100</f>
        <v>-43.770553109700238</v>
      </c>
      <c r="C93" s="48">
        <f>C102/C88*100</f>
        <v>-12.531971503978145</v>
      </c>
      <c r="D93" s="48">
        <f>D102/C88*100</f>
        <v>18.706610101743944</v>
      </c>
      <c r="E93" s="49">
        <f>E102/C88*100</f>
        <v>49.945191707466016</v>
      </c>
      <c r="F93" s="48">
        <f>F102/C88*100</f>
        <v>81.183773313188112</v>
      </c>
      <c r="G93" s="48">
        <f>G102/C88*100</f>
        <v>99.926922276621383</v>
      </c>
      <c r="H93" s="50">
        <f>H102/C88*100</f>
        <v>124.91778756119905</v>
      </c>
    </row>
    <row r="94" spans="1:8" s="3" customFormat="1" ht="13.8" x14ac:dyDescent="0.3">
      <c r="A94" s="47">
        <f>A95-10</f>
        <v>476</v>
      </c>
      <c r="B94" s="48">
        <f>B103/C88*100</f>
        <v>-42.56391261849209</v>
      </c>
      <c r="C94" s="48">
        <f>C103/C88*100</f>
        <v>-10.654975184321025</v>
      </c>
      <c r="D94" s="48">
        <f>D103/C88*100</f>
        <v>21.253962249850041</v>
      </c>
      <c r="E94" s="49">
        <f>E103/C88*100</f>
        <v>53.162899684021092</v>
      </c>
      <c r="F94" s="48">
        <f>F103/C88*100</f>
        <v>85.07183711819215</v>
      </c>
      <c r="G94" s="48">
        <f>G103/C88*100</f>
        <v>104.21719957869482</v>
      </c>
      <c r="H94" s="50">
        <f>H103/C88*100</f>
        <v>129.74434952603164</v>
      </c>
    </row>
    <row r="95" spans="1:8" s="3" customFormat="1" ht="13.8" x14ac:dyDescent="0.3">
      <c r="A95" s="51">
        <f>B80</f>
        <v>486</v>
      </c>
      <c r="B95" s="52">
        <f>B104/C88*100</f>
        <v>-41.357272127283942</v>
      </c>
      <c r="C95" s="53">
        <f>C104/C88*100</f>
        <v>-8.7779788646639023</v>
      </c>
      <c r="D95" s="53">
        <f>D104/C88*100</f>
        <v>23.801314397956133</v>
      </c>
      <c r="E95" s="54">
        <f>E104/C88*100</f>
        <v>56.380607660576153</v>
      </c>
      <c r="F95" s="53">
        <f>F104/C88*100</f>
        <v>88.959900923196187</v>
      </c>
      <c r="G95" s="53">
        <f>G104/C88*100</f>
        <v>108.50747688076822</v>
      </c>
      <c r="H95" s="55">
        <f>H104/C88*100</f>
        <v>134.57091149086423</v>
      </c>
    </row>
    <row r="96" spans="1:8" s="3" customFormat="1" ht="13.8" x14ac:dyDescent="0.3">
      <c r="A96" s="47">
        <f>A95+10</f>
        <v>496</v>
      </c>
      <c r="B96" s="56">
        <f>B105/C88*100</f>
        <v>-40.150631636075786</v>
      </c>
      <c r="C96" s="56">
        <f>C105/C88*100</f>
        <v>-6.9009825450067828</v>
      </c>
      <c r="D96" s="56">
        <f>D105/C88*100</f>
        <v>26.348666546062226</v>
      </c>
      <c r="E96" s="57">
        <f>E105/C88*100</f>
        <v>59.598315637131215</v>
      </c>
      <c r="F96" s="56">
        <f>F105/C88*100</f>
        <v>92.847964728200225</v>
      </c>
      <c r="G96" s="56">
        <f>G105/C88*100</f>
        <v>112.79775418284166</v>
      </c>
      <c r="H96" s="58">
        <f>H105/C88*100</f>
        <v>139.39747345569685</v>
      </c>
    </row>
    <row r="97" spans="1:8" s="3" customFormat="1" ht="13.8" x14ac:dyDescent="0.3">
      <c r="A97" s="47">
        <f>A96+10</f>
        <v>506</v>
      </c>
      <c r="B97" s="56">
        <f>B106/C88*100</f>
        <v>-38.943991144867638</v>
      </c>
      <c r="C97" s="56">
        <f>C106/C88*100</f>
        <v>-5.0239862253496606</v>
      </c>
      <c r="D97" s="56">
        <f>D106/C88*100</f>
        <v>28.896018694168319</v>
      </c>
      <c r="E97" s="57">
        <f>E106/C88*100</f>
        <v>62.816023613686276</v>
      </c>
      <c r="F97" s="56">
        <f>F106/C88*100</f>
        <v>96.736028533204262</v>
      </c>
      <c r="G97" s="56">
        <f>G106/C88*100</f>
        <v>117.08803148491506</v>
      </c>
      <c r="H97" s="58">
        <f>H106/C88*100</f>
        <v>144.22403542052945</v>
      </c>
    </row>
    <row r="98" spans="1:8" s="3" customFormat="1" ht="13.8" x14ac:dyDescent="0.3">
      <c r="A98" s="47">
        <f>A97+10</f>
        <v>516</v>
      </c>
      <c r="B98" s="56">
        <f>B107/C88*100</f>
        <v>-37.73735065365949</v>
      </c>
      <c r="C98" s="56">
        <f>C107/C88*100</f>
        <v>-3.1469899056925397</v>
      </c>
      <c r="D98" s="56">
        <f>D107/C88*100</f>
        <v>31.443370842274408</v>
      </c>
      <c r="E98" s="57">
        <f>E107/C88*100</f>
        <v>66.033731590241345</v>
      </c>
      <c r="F98" s="56">
        <f>F107/C88*100</f>
        <v>100.6240923382083</v>
      </c>
      <c r="G98" s="56">
        <f>G107/C88*100</f>
        <v>121.3783087869885</v>
      </c>
      <c r="H98" s="58">
        <f>H107/C88*100</f>
        <v>149.05059738536204</v>
      </c>
    </row>
    <row r="99" spans="1:8" s="3" customFormat="1" ht="13.8" x14ac:dyDescent="0.3">
      <c r="A99" s="669" t="s">
        <v>404</v>
      </c>
      <c r="B99" s="669"/>
      <c r="C99" s="669"/>
      <c r="D99" s="669"/>
      <c r="E99" s="669"/>
      <c r="F99" s="669"/>
      <c r="G99" s="669"/>
      <c r="H99" s="669"/>
    </row>
    <row r="100" spans="1:8" s="3" customFormat="1" ht="13.8" x14ac:dyDescent="0.3">
      <c r="A100" s="43" t="s">
        <v>332</v>
      </c>
      <c r="B100" s="44">
        <f>E100-1.5</f>
        <v>0.89999999999999991</v>
      </c>
      <c r="C100" s="44">
        <f>E100-1</f>
        <v>1.4</v>
      </c>
      <c r="D100" s="44">
        <f>E100-0.5</f>
        <v>1.9</v>
      </c>
      <c r="E100" s="45">
        <f>B76</f>
        <v>2.4</v>
      </c>
      <c r="F100" s="44">
        <f>E100+0.5</f>
        <v>2.9</v>
      </c>
      <c r="G100" s="44">
        <f>E100+0.8</f>
        <v>3.2</v>
      </c>
      <c r="H100" s="46">
        <f>E100+1.2</f>
        <v>3.5999999999999996</v>
      </c>
    </row>
    <row r="101" spans="1:8" s="3" customFormat="1" ht="13.8" x14ac:dyDescent="0.3">
      <c r="A101" s="47">
        <f>A102-10</f>
        <v>456</v>
      </c>
      <c r="B101" s="48">
        <f>(B100*A101)-C88</f>
        <v>-335.47253333333322</v>
      </c>
      <c r="C101" s="48">
        <f>(C100*A101)-C88</f>
        <v>-107.47253333333322</v>
      </c>
      <c r="D101" s="48">
        <f>(D100*A101)-C88</f>
        <v>120.52746666666678</v>
      </c>
      <c r="E101" s="49">
        <f>(E100*A101)-C88</f>
        <v>348.52746666666667</v>
      </c>
      <c r="F101" s="48">
        <f>(F100*A101)-C88</f>
        <v>576.52746666666667</v>
      </c>
      <c r="G101" s="48">
        <f>(G100*A101)-C88</f>
        <v>713.32746666666685</v>
      </c>
      <c r="H101" s="50">
        <f>(H100*A101)-C88</f>
        <v>895.72746666666671</v>
      </c>
    </row>
    <row r="102" spans="1:8" s="3" customFormat="1" ht="13.8" x14ac:dyDescent="0.3">
      <c r="A102" s="47">
        <f>A103-10</f>
        <v>466</v>
      </c>
      <c r="B102" s="48">
        <f>(B100*A102)-C88</f>
        <v>-326.47253333333322</v>
      </c>
      <c r="C102" s="48">
        <f>(C100*A102)-C88</f>
        <v>-93.472533333333217</v>
      </c>
      <c r="D102" s="48">
        <f>(D100*A102)-C88</f>
        <v>139.52746666666678</v>
      </c>
      <c r="E102" s="49">
        <f>(E100*A102)-C88</f>
        <v>372.52746666666667</v>
      </c>
      <c r="F102" s="48">
        <f>(F100*A102)-C88</f>
        <v>605.52746666666667</v>
      </c>
      <c r="G102" s="48">
        <f>(G100*A102)-C88</f>
        <v>745.32746666666685</v>
      </c>
      <c r="H102" s="50">
        <f>(H100*A102)-C88</f>
        <v>931.72746666666671</v>
      </c>
    </row>
    <row r="103" spans="1:8" s="3" customFormat="1" ht="13.8" x14ac:dyDescent="0.3">
      <c r="A103" s="47">
        <f>A104-10</f>
        <v>476</v>
      </c>
      <c r="B103" s="48">
        <f>(A103*B100)-C88</f>
        <v>-317.47253333333322</v>
      </c>
      <c r="C103" s="48">
        <f>(C100*A103)-C88</f>
        <v>-79.472533333333217</v>
      </c>
      <c r="D103" s="48">
        <f>(D100*A103)-C88</f>
        <v>158.52746666666678</v>
      </c>
      <c r="E103" s="49">
        <f>(E100*A103)-C88</f>
        <v>396.52746666666667</v>
      </c>
      <c r="F103" s="48">
        <f>(F100*A103)-C88</f>
        <v>634.52746666666667</v>
      </c>
      <c r="G103" s="48">
        <f>(G100*A103)-C88</f>
        <v>777.32746666666685</v>
      </c>
      <c r="H103" s="50">
        <f>(H100*A103)-C88</f>
        <v>967.72746666666671</v>
      </c>
    </row>
    <row r="104" spans="1:8" s="3" customFormat="1" ht="13.8" x14ac:dyDescent="0.3">
      <c r="A104" s="51">
        <f>B80</f>
        <v>486</v>
      </c>
      <c r="B104" s="53">
        <f>(A104*B100)-C88</f>
        <v>-308.47253333333322</v>
      </c>
      <c r="C104" s="53">
        <f>(A104*C100)-C88</f>
        <v>-65.472533333333217</v>
      </c>
      <c r="D104" s="53">
        <f>(D100*A104)-C88</f>
        <v>177.52746666666678</v>
      </c>
      <c r="E104" s="54">
        <f>(A104*E100)-C88</f>
        <v>420.52746666666667</v>
      </c>
      <c r="F104" s="53">
        <f>(A104*F100)-C88</f>
        <v>663.52746666666667</v>
      </c>
      <c r="G104" s="53">
        <f>(G100*A104)-C88</f>
        <v>809.32746666666685</v>
      </c>
      <c r="H104" s="55">
        <f>(H100*A104)-C88</f>
        <v>1003.7274666666667</v>
      </c>
    </row>
    <row r="105" spans="1:8" s="3" customFormat="1" ht="13.8" x14ac:dyDescent="0.3">
      <c r="A105" s="47">
        <f>A104+10</f>
        <v>496</v>
      </c>
      <c r="B105" s="56">
        <f>(A105*B100)-C88</f>
        <v>-299.47253333333322</v>
      </c>
      <c r="C105" s="56">
        <f>(C100*A105)-C88</f>
        <v>-51.472533333333217</v>
      </c>
      <c r="D105" s="56">
        <f>(D100*A105)-C88</f>
        <v>196.52746666666678</v>
      </c>
      <c r="E105" s="57">
        <f>(E100*A105)-C88</f>
        <v>444.52746666666667</v>
      </c>
      <c r="F105" s="56">
        <f>(F100*A105)-C88</f>
        <v>692.52746666666667</v>
      </c>
      <c r="G105" s="56">
        <f>(G100*A105)-C88</f>
        <v>841.32746666666685</v>
      </c>
      <c r="H105" s="58">
        <f>(H100*A105)-C88</f>
        <v>1039.7274666666667</v>
      </c>
    </row>
    <row r="106" spans="1:8" s="3" customFormat="1" ht="13.8" x14ac:dyDescent="0.3">
      <c r="A106" s="47">
        <f>A105+10</f>
        <v>506</v>
      </c>
      <c r="B106" s="56">
        <f>(A106*B100)-C88</f>
        <v>-290.47253333333322</v>
      </c>
      <c r="C106" s="56">
        <f>(C100*A106)-C88</f>
        <v>-37.472533333333217</v>
      </c>
      <c r="D106" s="56">
        <f>(D100*A106)-C88</f>
        <v>215.52746666666678</v>
      </c>
      <c r="E106" s="57">
        <f>(E100*A106)-C88</f>
        <v>468.52746666666667</v>
      </c>
      <c r="F106" s="56">
        <f>(F100*A106)-C88</f>
        <v>721.52746666666667</v>
      </c>
      <c r="G106" s="56">
        <f>(G100*A106)-C88</f>
        <v>873.32746666666685</v>
      </c>
      <c r="H106" s="58">
        <f>(H100*A106)-C88</f>
        <v>1075.7274666666667</v>
      </c>
    </row>
    <row r="107" spans="1:8" s="3" customFormat="1" ht="13.8" x14ac:dyDescent="0.3">
      <c r="A107" s="59">
        <f>A106+10</f>
        <v>516</v>
      </c>
      <c r="B107" s="60">
        <f>(B100*A107)-C88</f>
        <v>-281.47253333333322</v>
      </c>
      <c r="C107" s="60">
        <f>(C100*A107)-C88</f>
        <v>-23.472533333333217</v>
      </c>
      <c r="D107" s="60">
        <f>(D100*A107)-C88</f>
        <v>234.52746666666678</v>
      </c>
      <c r="E107" s="61">
        <f>(E100*A107)-C88</f>
        <v>492.52746666666667</v>
      </c>
      <c r="F107" s="60">
        <f>(F100*A107)-C88</f>
        <v>750.52746666666667</v>
      </c>
      <c r="G107" s="60">
        <f>(G100*A107)-C88</f>
        <v>905.32746666666685</v>
      </c>
      <c r="H107" s="62">
        <f>(A107*H100)-C88</f>
        <v>1111.7274666666667</v>
      </c>
    </row>
  </sheetData>
  <mergeCells count="18">
    <mergeCell ref="C37:D37"/>
    <mergeCell ref="A1:H1"/>
    <mergeCell ref="C23:D23"/>
    <mergeCell ref="C26:D26"/>
    <mergeCell ref="C29:D29"/>
    <mergeCell ref="C32:D32"/>
    <mergeCell ref="A99:H99"/>
    <mergeCell ref="C50:D50"/>
    <mergeCell ref="C53:D53"/>
    <mergeCell ref="C63:D63"/>
    <mergeCell ref="C67:D67"/>
    <mergeCell ref="C70:D70"/>
    <mergeCell ref="F70:G70"/>
    <mergeCell ref="C72:D72"/>
    <mergeCell ref="D75:F75"/>
    <mergeCell ref="D76:F76"/>
    <mergeCell ref="A88:B88"/>
    <mergeCell ref="A90:H90"/>
  </mergeCells>
  <pageMargins left="0.70866141732283472" right="0.70866141732283472" top="0.74803149606299213" bottom="0.74803149606299213" header="0.51181102362204722" footer="0.51181102362204722"/>
  <pageSetup scale="55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12"/>
  <sheetViews>
    <sheetView showGridLines="0" tabSelected="1" topLeftCell="A63" zoomScale="95" zoomScaleNormal="95" workbookViewId="0">
      <selection activeCell="E76" sqref="E76"/>
    </sheetView>
  </sheetViews>
  <sheetFormatPr baseColWidth="10" defaultColWidth="10.6640625" defaultRowHeight="14.4" x14ac:dyDescent="0.3"/>
  <cols>
    <col min="1" max="1" width="38.88671875" style="1" customWidth="1"/>
    <col min="2" max="2" width="10.5546875" style="1" bestFit="1" customWidth="1"/>
    <col min="3" max="3" width="9.44140625" style="1" customWidth="1"/>
    <col min="4" max="4" width="12.6640625" style="2" bestFit="1" customWidth="1"/>
    <col min="5" max="5" width="10.44140625" style="1" customWidth="1"/>
    <col min="6" max="6" width="8" style="1" customWidth="1"/>
    <col min="7" max="7" width="13.5546875" style="1" bestFit="1" customWidth="1"/>
    <col min="8" max="8" width="10.5546875" style="1" bestFit="1" customWidth="1"/>
    <col min="9" max="9" width="13.109375" style="1" bestFit="1" customWidth="1"/>
    <col min="10" max="10" width="10.88671875" style="1" bestFit="1" customWidth="1"/>
    <col min="11" max="11" width="13.109375" style="1" bestFit="1" customWidth="1"/>
    <col min="12" max="12" width="10.88671875" style="1" bestFit="1" customWidth="1"/>
    <col min="13" max="16384" width="10.6640625" style="1"/>
  </cols>
  <sheetData>
    <row r="1" spans="1:10" s="3" customFormat="1" ht="21.6" thickBot="1" x14ac:dyDescent="0.45">
      <c r="A1" s="664" t="s">
        <v>434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600">
        <v>0</v>
      </c>
      <c r="D3" s="17"/>
      <c r="H3" s="94"/>
    </row>
    <row r="4" spans="1:10" s="188" customFormat="1" ht="13.8" x14ac:dyDescent="0.3">
      <c r="A4" s="205"/>
      <c r="B4" s="206"/>
      <c r="D4" s="235"/>
      <c r="H4" s="206"/>
    </row>
    <row r="5" spans="1:10" s="3" customFormat="1" ht="13.8" x14ac:dyDescent="0.3">
      <c r="A5" s="7"/>
      <c r="B5" s="8" t="s">
        <v>238</v>
      </c>
      <c r="C5" s="7" t="s">
        <v>239</v>
      </c>
      <c r="D5" s="4" t="s">
        <v>240</v>
      </c>
      <c r="E5" s="9" t="s">
        <v>183</v>
      </c>
      <c r="G5" s="9" t="s">
        <v>199</v>
      </c>
      <c r="J5" s="3" t="s">
        <v>244</v>
      </c>
    </row>
    <row r="6" spans="1:10" s="3" customFormat="1" ht="13.8" x14ac:dyDescent="0.3">
      <c r="A6" s="7"/>
      <c r="B6" s="8"/>
      <c r="C6" s="7"/>
      <c r="D6" s="4" t="s">
        <v>245</v>
      </c>
      <c r="E6" s="9"/>
      <c r="J6" s="88"/>
    </row>
    <row r="7" spans="1:10" s="3" customFormat="1" ht="13.8" x14ac:dyDescent="0.3">
      <c r="A7" s="238" t="s">
        <v>204</v>
      </c>
      <c r="B7" s="11"/>
      <c r="C7" s="12"/>
      <c r="D7" s="13"/>
      <c r="E7" s="14"/>
      <c r="F7" s="15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+'Girasol SP'!D9</f>
        <v>35</v>
      </c>
      <c r="E8" s="216">
        <f t="shared" ref="E8:E21" si="0">B8*D8</f>
        <v>0</v>
      </c>
      <c r="F8" s="94"/>
      <c r="J8" s="3" t="s">
        <v>256</v>
      </c>
    </row>
    <row r="9" spans="1:10" s="3" customFormat="1" ht="13.8" x14ac:dyDescent="0.3">
      <c r="A9" s="209" t="s">
        <v>250</v>
      </c>
      <c r="B9" s="169">
        <v>0</v>
      </c>
      <c r="C9" s="18" t="s">
        <v>247</v>
      </c>
      <c r="D9" s="117">
        <f>Cotizaciones!F18</f>
        <v>17</v>
      </c>
      <c r="E9" s="216">
        <f t="shared" si="0"/>
        <v>0</v>
      </c>
      <c r="F9" s="94"/>
    </row>
    <row r="10" spans="1:10" s="3" customFormat="1" ht="13.8" x14ac:dyDescent="0.3">
      <c r="A10" s="209" t="s">
        <v>251</v>
      </c>
      <c r="B10" s="169">
        <v>1</v>
      </c>
      <c r="C10" s="18" t="s">
        <v>247</v>
      </c>
      <c r="D10" s="522">
        <v>6.5</v>
      </c>
      <c r="E10" s="117">
        <f t="shared" si="0"/>
        <v>6.5</v>
      </c>
      <c r="F10" s="94"/>
      <c r="G10" s="93">
        <v>41062</v>
      </c>
      <c r="H10" s="93">
        <v>41154</v>
      </c>
      <c r="J10" s="3" t="s">
        <v>253</v>
      </c>
    </row>
    <row r="11" spans="1:10" s="3" customFormat="1" ht="13.8" x14ac:dyDescent="0.3">
      <c r="A11" s="209" t="s">
        <v>251</v>
      </c>
      <c r="B11" s="169">
        <v>2</v>
      </c>
      <c r="C11" s="18" t="s">
        <v>247</v>
      </c>
      <c r="D11" s="522">
        <f>D10</f>
        <v>6.5</v>
      </c>
      <c r="E11" s="117">
        <f t="shared" si="0"/>
        <v>13</v>
      </c>
      <c r="F11" s="94"/>
      <c r="G11" s="93"/>
      <c r="H11" s="93"/>
      <c r="J11" s="3" t="s">
        <v>408</v>
      </c>
    </row>
    <row r="12" spans="1:10" s="3" customFormat="1" ht="13.8" x14ac:dyDescent="0.3">
      <c r="A12" s="209" t="s">
        <v>345</v>
      </c>
      <c r="B12" s="169">
        <v>1</v>
      </c>
      <c r="C12" s="18" t="s">
        <v>247</v>
      </c>
      <c r="D12" s="522">
        <v>55</v>
      </c>
      <c r="E12" s="117">
        <f t="shared" si="0"/>
        <v>55</v>
      </c>
      <c r="F12" s="94"/>
      <c r="G12" s="93">
        <v>41184</v>
      </c>
      <c r="J12" s="3" t="s">
        <v>261</v>
      </c>
    </row>
    <row r="13" spans="1:10" s="3" customFormat="1" ht="13.8" x14ac:dyDescent="0.3">
      <c r="A13" s="209" t="s">
        <v>385</v>
      </c>
      <c r="B13" s="169">
        <v>1</v>
      </c>
      <c r="C13" s="18" t="s">
        <v>247</v>
      </c>
      <c r="D13" s="522">
        <v>6.5</v>
      </c>
      <c r="E13" s="117">
        <f t="shared" si="0"/>
        <v>6.5</v>
      </c>
      <c r="F13" s="94"/>
      <c r="G13" s="93">
        <v>41215</v>
      </c>
      <c r="J13" s="3" t="s">
        <v>261</v>
      </c>
    </row>
    <row r="14" spans="1:10" s="3" customFormat="1" ht="13.8" x14ac:dyDescent="0.3">
      <c r="A14" s="209" t="s">
        <v>509</v>
      </c>
      <c r="B14" s="169">
        <v>1</v>
      </c>
      <c r="C14" s="18" t="s">
        <v>247</v>
      </c>
      <c r="D14" s="522">
        <v>6.5</v>
      </c>
      <c r="E14" s="117">
        <f t="shared" si="0"/>
        <v>6.5</v>
      </c>
      <c r="F14" s="94"/>
      <c r="G14" s="3" t="s">
        <v>435</v>
      </c>
      <c r="J14" s="536" t="s">
        <v>261</v>
      </c>
    </row>
    <row r="15" spans="1:10" s="3" customFormat="1" ht="13.8" x14ac:dyDescent="0.3">
      <c r="A15" s="209" t="s">
        <v>386</v>
      </c>
      <c r="B15" s="169">
        <v>0</v>
      </c>
      <c r="C15" s="18" t="s">
        <v>247</v>
      </c>
      <c r="D15" s="117">
        <v>11</v>
      </c>
      <c r="E15" s="117">
        <f t="shared" si="0"/>
        <v>0</v>
      </c>
      <c r="F15" s="94"/>
      <c r="J15" s="3" t="s">
        <v>276</v>
      </c>
    </row>
    <row r="16" spans="1:10" s="3" customFormat="1" ht="13.8" x14ac:dyDescent="0.3">
      <c r="A16" s="209" t="s">
        <v>387</v>
      </c>
      <c r="B16" s="169">
        <v>0</v>
      </c>
      <c r="C16" s="18" t="s">
        <v>247</v>
      </c>
      <c r="D16" s="117">
        <f>Cotizaciones!F17</f>
        <v>5</v>
      </c>
      <c r="E16" s="117">
        <f t="shared" si="0"/>
        <v>0</v>
      </c>
      <c r="F16" s="94"/>
      <c r="G16" s="93">
        <v>41214</v>
      </c>
    </row>
    <row r="17" spans="1:10" s="3" customFormat="1" ht="13.8" x14ac:dyDescent="0.3">
      <c r="A17" s="209" t="s">
        <v>388</v>
      </c>
      <c r="B17" s="169">
        <v>0.5</v>
      </c>
      <c r="C17" s="18" t="s">
        <v>247</v>
      </c>
      <c r="D17" s="117">
        <f>Cotizaciones!F16</f>
        <v>13</v>
      </c>
      <c r="E17" s="117">
        <f t="shared" si="0"/>
        <v>6.5</v>
      </c>
      <c r="F17" s="94"/>
      <c r="J17" s="3" t="s">
        <v>268</v>
      </c>
    </row>
    <row r="18" spans="1:10" s="3" customFormat="1" ht="13.8" x14ac:dyDescent="0.3">
      <c r="A18" s="209" t="s">
        <v>262</v>
      </c>
      <c r="B18" s="169">
        <v>0</v>
      </c>
      <c r="C18" s="18" t="s">
        <v>247</v>
      </c>
      <c r="D18" s="117">
        <f>Cotizaciones!F15</f>
        <v>1</v>
      </c>
      <c r="E18" s="117">
        <f t="shared" si="0"/>
        <v>0</v>
      </c>
      <c r="F18" s="94"/>
      <c r="G18" s="93">
        <v>41245</v>
      </c>
      <c r="J18" s="3" t="s">
        <v>261</v>
      </c>
    </row>
    <row r="19" spans="1:10" s="3" customFormat="1" ht="13.8" x14ac:dyDescent="0.3">
      <c r="A19" s="209" t="s">
        <v>263</v>
      </c>
      <c r="B19" s="169">
        <v>0</v>
      </c>
      <c r="C19" s="18" t="s">
        <v>247</v>
      </c>
      <c r="D19" s="117">
        <v>1</v>
      </c>
      <c r="E19" s="117">
        <f t="shared" si="0"/>
        <v>0</v>
      </c>
      <c r="F19" s="94"/>
      <c r="J19" s="3" t="s">
        <v>261</v>
      </c>
    </row>
    <row r="20" spans="1:10" s="3" customFormat="1" ht="13.8" x14ac:dyDescent="0.3">
      <c r="A20" s="209" t="s">
        <v>412</v>
      </c>
      <c r="B20" s="169">
        <v>1</v>
      </c>
      <c r="C20" s="18" t="s">
        <v>247</v>
      </c>
      <c r="D20" s="117">
        <v>4</v>
      </c>
      <c r="E20" s="117">
        <f t="shared" si="0"/>
        <v>4</v>
      </c>
      <c r="F20" s="94"/>
      <c r="J20" s="3" t="s">
        <v>408</v>
      </c>
    </row>
    <row r="21" spans="1:10" s="3" customFormat="1" ht="13.8" x14ac:dyDescent="0.3">
      <c r="A21" s="209" t="s">
        <v>436</v>
      </c>
      <c r="B21" s="169">
        <v>0.5</v>
      </c>
      <c r="C21" s="18" t="s">
        <v>437</v>
      </c>
      <c r="D21" s="117">
        <f>+Cotizaciones!F6</f>
        <v>5</v>
      </c>
      <c r="E21" s="117">
        <f t="shared" si="0"/>
        <v>2.5</v>
      </c>
      <c r="F21" s="94"/>
      <c r="J21" s="3" t="s">
        <v>408</v>
      </c>
    </row>
    <row r="22" spans="1:10" s="3" customFormat="1" ht="15" customHeight="1" x14ac:dyDescent="0.3">
      <c r="A22" s="210"/>
      <c r="B22" s="20"/>
      <c r="C22" s="667" t="s">
        <v>265</v>
      </c>
      <c r="D22" s="667"/>
      <c r="E22" s="141">
        <f>SUM(E8:E21)</f>
        <v>100.5</v>
      </c>
      <c r="F22" s="159">
        <f>E22/E63</f>
        <v>0.10300015714783511</v>
      </c>
      <c r="G22" s="93">
        <v>41183</v>
      </c>
      <c r="I22" s="21">
        <f>+E22*$B$3</f>
        <v>0</v>
      </c>
    </row>
    <row r="23" spans="1:10" s="3" customFormat="1" ht="13.8" x14ac:dyDescent="0.3">
      <c r="A23" s="238" t="s">
        <v>205</v>
      </c>
      <c r="B23" s="23"/>
      <c r="C23" s="12"/>
      <c r="D23" s="24"/>
      <c r="E23" s="25"/>
      <c r="F23" s="15"/>
    </row>
    <row r="24" spans="1:10" s="3" customFormat="1" ht="13.8" x14ac:dyDescent="0.3">
      <c r="A24" s="212" t="s">
        <v>438</v>
      </c>
      <c r="B24" s="171">
        <v>0.3</v>
      </c>
      <c r="C24" s="18" t="s">
        <v>439</v>
      </c>
      <c r="D24" s="117">
        <f>Cotizaciones!E43</f>
        <v>330</v>
      </c>
      <c r="E24" s="217">
        <f>B24*D24</f>
        <v>99</v>
      </c>
      <c r="J24" s="3" t="s">
        <v>268</v>
      </c>
    </row>
    <row r="25" spans="1:10" s="3" customFormat="1" ht="13.8" x14ac:dyDescent="0.3">
      <c r="A25" s="212"/>
      <c r="B25" s="30">
        <v>0.3</v>
      </c>
      <c r="C25" s="667" t="s">
        <v>270</v>
      </c>
      <c r="D25" s="667"/>
      <c r="E25" s="141">
        <f>SUM(E24:E24)</f>
        <v>99</v>
      </c>
      <c r="F25" s="159">
        <f>E25/E63</f>
        <v>0.10146284136950921</v>
      </c>
      <c r="G25" s="21">
        <f>E25*B3</f>
        <v>0</v>
      </c>
    </row>
    <row r="26" spans="1:10" s="3" customFormat="1" ht="13.8" x14ac:dyDescent="0.3">
      <c r="A26" s="212"/>
      <c r="B26" s="27"/>
      <c r="C26" s="18"/>
      <c r="D26" s="28"/>
      <c r="E26" s="29"/>
    </row>
    <row r="27" spans="1:10" s="3" customFormat="1" ht="13.8" x14ac:dyDescent="0.3">
      <c r="A27" s="238" t="s">
        <v>206</v>
      </c>
      <c r="B27" s="11">
        <v>1</v>
      </c>
      <c r="C27" s="12" t="s">
        <v>247</v>
      </c>
      <c r="D27" s="526">
        <f>+'Resumen Proy'!C57</f>
        <v>426</v>
      </c>
      <c r="E27" s="173">
        <f>D27</f>
        <v>426</v>
      </c>
      <c r="F27" s="15"/>
    </row>
    <row r="28" spans="1:10" s="3" customFormat="1" ht="13.8" x14ac:dyDescent="0.3">
      <c r="A28" s="212"/>
      <c r="B28" s="27"/>
      <c r="C28" s="667" t="s">
        <v>271</v>
      </c>
      <c r="D28" s="667"/>
      <c r="E28" s="176">
        <f>E27</f>
        <v>426</v>
      </c>
      <c r="F28" s="236">
        <f>E28/E63</f>
        <v>0.43659768104455482</v>
      </c>
      <c r="G28" s="21"/>
    </row>
    <row r="29" spans="1:10" s="3" customFormat="1" ht="13.8" x14ac:dyDescent="0.3">
      <c r="A29" s="212"/>
      <c r="B29" s="27"/>
      <c r="C29" s="18"/>
      <c r="D29" s="28"/>
      <c r="E29" s="29"/>
    </row>
    <row r="30" spans="1:10" s="3" customFormat="1" ht="13.8" x14ac:dyDescent="0.3">
      <c r="A30" s="238" t="s">
        <v>207</v>
      </c>
      <c r="B30" s="281">
        <v>30</v>
      </c>
      <c r="C30" s="12" t="s">
        <v>272</v>
      </c>
      <c r="D30" s="173">
        <f>B30</f>
        <v>30</v>
      </c>
      <c r="E30" s="174">
        <f>D30</f>
        <v>30</v>
      </c>
      <c r="F30" s="15"/>
    </row>
    <row r="31" spans="1:10" s="3" customFormat="1" ht="13.8" x14ac:dyDescent="0.3">
      <c r="A31" s="212"/>
      <c r="B31" s="27"/>
      <c r="C31" s="667" t="s">
        <v>273</v>
      </c>
      <c r="D31" s="667"/>
      <c r="E31" s="141">
        <f>E30</f>
        <v>30</v>
      </c>
      <c r="F31" s="236">
        <f>E31/E63</f>
        <v>3.0746315566517943E-2</v>
      </c>
      <c r="G31" s="21">
        <f>E31*B3</f>
        <v>0</v>
      </c>
    </row>
    <row r="33" spans="1:10" s="3" customFormat="1" ht="13.8" x14ac:dyDescent="0.3">
      <c r="A33" s="238" t="s">
        <v>140</v>
      </c>
      <c r="B33" s="23"/>
      <c r="C33" s="12"/>
      <c r="D33" s="24"/>
      <c r="E33" s="25"/>
      <c r="F33" s="15"/>
    </row>
    <row r="34" spans="1:10" s="3" customFormat="1" ht="13.8" x14ac:dyDescent="0.3">
      <c r="A34" s="583" t="s">
        <v>351</v>
      </c>
      <c r="B34" s="170">
        <v>0.06</v>
      </c>
      <c r="C34" s="18" t="s">
        <v>275</v>
      </c>
      <c r="D34" s="19">
        <f>Cotizaciones!I25</f>
        <v>990</v>
      </c>
      <c r="E34" s="34">
        <f>B34*D34</f>
        <v>59.4</v>
      </c>
      <c r="G34" s="3" t="s">
        <v>440</v>
      </c>
      <c r="J34" s="3" t="s">
        <v>276</v>
      </c>
    </row>
    <row r="35" spans="1:10" s="3" customFormat="1" ht="13.8" x14ac:dyDescent="0.3">
      <c r="A35" s="212" t="s">
        <v>441</v>
      </c>
      <c r="B35" s="170">
        <v>0.06</v>
      </c>
      <c r="C35" s="18" t="s">
        <v>275</v>
      </c>
      <c r="D35" s="19">
        <f>Cotizaciones!I34</f>
        <v>610</v>
      </c>
      <c r="E35" s="34">
        <f>B35*D35</f>
        <v>36.6</v>
      </c>
      <c r="G35" s="3" t="str">
        <f>+A15</f>
        <v>Fertilización</v>
      </c>
      <c r="J35" s="3" t="s">
        <v>268</v>
      </c>
    </row>
    <row r="36" spans="1:10" s="3" customFormat="1" ht="13.8" x14ac:dyDescent="0.3">
      <c r="A36" s="212" t="s">
        <v>269</v>
      </c>
      <c r="B36" s="170">
        <f>+B35+B34</f>
        <v>0.12</v>
      </c>
      <c r="C36" s="18"/>
      <c r="D36" s="589">
        <f>+'Cebada SP'!D35</f>
        <v>35</v>
      </c>
      <c r="E36" s="34">
        <f>+D36*B36</f>
        <v>4.2</v>
      </c>
    </row>
    <row r="37" spans="1:10" s="3" customFormat="1" ht="13.8" x14ac:dyDescent="0.3">
      <c r="A37" s="212"/>
      <c r="B37" s="30"/>
      <c r="C37" s="667" t="s">
        <v>280</v>
      </c>
      <c r="D37" s="667"/>
      <c r="E37" s="176">
        <f>+E36+E35+E34</f>
        <v>100.2</v>
      </c>
      <c r="F37" s="159">
        <f>E37/E63</f>
        <v>0.10269269399216994</v>
      </c>
      <c r="G37" s="21">
        <f>E37*B3</f>
        <v>0</v>
      </c>
    </row>
    <row r="38" spans="1:10" s="3" customFormat="1" ht="13.8" x14ac:dyDescent="0.3">
      <c r="A38" s="238" t="s">
        <v>118</v>
      </c>
      <c r="B38" s="66"/>
      <c r="C38" s="67"/>
      <c r="D38" s="67"/>
      <c r="E38" s="68"/>
      <c r="F38" s="15"/>
    </row>
    <row r="39" spans="1:10" s="3" customFormat="1" ht="13.8" x14ac:dyDescent="0.3">
      <c r="A39" s="212"/>
      <c r="B39" s="27"/>
      <c r="C39" s="18"/>
      <c r="D39" s="28"/>
      <c r="E39" s="29"/>
    </row>
    <row r="40" spans="1:10" s="3" customFormat="1" ht="13.8" x14ac:dyDescent="0.3">
      <c r="A40" s="212" t="s">
        <v>442</v>
      </c>
      <c r="B40" s="171">
        <v>1</v>
      </c>
      <c r="C40" s="18" t="s">
        <v>283</v>
      </c>
      <c r="D40" s="117">
        <f>+Cotizaciones!I20</f>
        <v>20</v>
      </c>
      <c r="E40" s="117">
        <f>B40*D40</f>
        <v>20</v>
      </c>
      <c r="G40" s="3" t="str">
        <f>+A10</f>
        <v>Barbecho Quimico</v>
      </c>
      <c r="J40" s="3" t="s">
        <v>253</v>
      </c>
    </row>
    <row r="41" spans="1:10" s="3" customFormat="1" ht="13.8" x14ac:dyDescent="0.3">
      <c r="A41" s="212" t="s">
        <v>127</v>
      </c>
      <c r="B41" s="171">
        <v>4</v>
      </c>
      <c r="C41" s="18" t="s">
        <v>283</v>
      </c>
      <c r="D41" s="117">
        <f>+Cotizaciones!I43</f>
        <v>4.5</v>
      </c>
      <c r="E41" s="117">
        <f>B41*D41</f>
        <v>18</v>
      </c>
      <c r="G41" s="3" t="str">
        <f>+G40</f>
        <v>Barbecho Quimico</v>
      </c>
      <c r="J41" s="3" t="s">
        <v>261</v>
      </c>
    </row>
    <row r="42" spans="1:10" s="3" customFormat="1" ht="13.8" x14ac:dyDescent="0.3">
      <c r="A42" s="212" t="s">
        <v>7</v>
      </c>
      <c r="B42" s="171">
        <v>1.6</v>
      </c>
      <c r="C42" s="18" t="s">
        <v>283</v>
      </c>
      <c r="D42" s="117">
        <f>Cotizaciones!I5</f>
        <v>4.5999999999999996</v>
      </c>
      <c r="E42" s="117">
        <f>B42*D42</f>
        <v>7.3599999999999994</v>
      </c>
      <c r="G42" s="3" t="s">
        <v>417</v>
      </c>
      <c r="J42" s="3" t="s">
        <v>261</v>
      </c>
    </row>
    <row r="43" spans="1:10" s="3" customFormat="1" ht="13.8" x14ac:dyDescent="0.3">
      <c r="A43" s="212" t="s">
        <v>494</v>
      </c>
      <c r="B43" s="171">
        <v>0.3</v>
      </c>
      <c r="C43" s="18" t="s">
        <v>283</v>
      </c>
      <c r="D43" s="117">
        <f>+Cotizaciones!I52</f>
        <v>19</v>
      </c>
      <c r="E43" s="117">
        <f>B43*D43</f>
        <v>5.7</v>
      </c>
      <c r="J43" s="536" t="s">
        <v>261</v>
      </c>
    </row>
    <row r="44" spans="1:10" s="3" customFormat="1" ht="13.8" x14ac:dyDescent="0.3">
      <c r="A44" s="212" t="s">
        <v>141</v>
      </c>
      <c r="B44" s="171">
        <v>1.6</v>
      </c>
      <c r="C44" s="18" t="s">
        <v>283</v>
      </c>
      <c r="D44" s="117">
        <f>Cotizaciones!I27</f>
        <v>6</v>
      </c>
      <c r="E44" s="117">
        <f>B44*D44</f>
        <v>9.6000000000000014</v>
      </c>
      <c r="G44" s="3" t="s">
        <v>443</v>
      </c>
      <c r="J44" s="3" t="s">
        <v>261</v>
      </c>
    </row>
    <row r="45" spans="1:10" s="3" customFormat="1" ht="13.8" x14ac:dyDescent="0.3">
      <c r="A45" s="212" t="s">
        <v>506</v>
      </c>
      <c r="B45" s="171">
        <v>0.05</v>
      </c>
      <c r="C45" s="18" t="s">
        <v>283</v>
      </c>
      <c r="D45" s="117">
        <f>+Cotizaciones!I30</f>
        <v>100</v>
      </c>
      <c r="E45" s="146">
        <f>D45*B45</f>
        <v>5</v>
      </c>
      <c r="J45" s="3" t="s">
        <v>336</v>
      </c>
    </row>
    <row r="46" spans="1:10" s="3" customFormat="1" ht="13.8" x14ac:dyDescent="0.3">
      <c r="A46" s="212" t="s">
        <v>44</v>
      </c>
      <c r="B46" s="171">
        <v>8.3333333333333329E-2</v>
      </c>
      <c r="C46" s="18" t="s">
        <v>283</v>
      </c>
      <c r="D46" s="117">
        <f>+Cotizaciones!I16</f>
        <v>170</v>
      </c>
      <c r="E46" s="146">
        <f>D46*B46</f>
        <v>14.166666666666666</v>
      </c>
      <c r="G46" s="3" t="s">
        <v>444</v>
      </c>
      <c r="J46" s="3" t="s">
        <v>408</v>
      </c>
    </row>
    <row r="47" spans="1:10" s="3" customFormat="1" ht="13.8" x14ac:dyDescent="0.3">
      <c r="A47" s="212" t="s">
        <v>61</v>
      </c>
      <c r="B47" s="171">
        <v>1</v>
      </c>
      <c r="C47" s="18" t="s">
        <v>283</v>
      </c>
      <c r="D47" s="117">
        <f>Cotizaciones!I24</f>
        <v>11.8</v>
      </c>
      <c r="E47" s="117">
        <f>B47*D47</f>
        <v>11.8</v>
      </c>
      <c r="G47" s="3" t="s">
        <v>444</v>
      </c>
      <c r="J47" s="3" t="s">
        <v>408</v>
      </c>
    </row>
    <row r="48" spans="1:10" s="3" customFormat="1" ht="13.8" x14ac:dyDescent="0.3">
      <c r="A48" s="212" t="s">
        <v>130</v>
      </c>
      <c r="B48" s="171">
        <v>0</v>
      </c>
      <c r="C48" s="18" t="s">
        <v>283</v>
      </c>
      <c r="D48" s="117">
        <f>Cotizaciones!I31</f>
        <v>20</v>
      </c>
      <c r="E48" s="117">
        <f>B48*D48</f>
        <v>0</v>
      </c>
      <c r="G48" s="3" t="s">
        <v>444</v>
      </c>
      <c r="J48" s="3" t="s">
        <v>408</v>
      </c>
    </row>
    <row r="49" spans="1:10" s="3" customFormat="1" ht="13.8" x14ac:dyDescent="0.3">
      <c r="A49" s="212" t="s">
        <v>112</v>
      </c>
      <c r="B49" s="171">
        <v>0.05</v>
      </c>
      <c r="C49" s="18" t="s">
        <v>283</v>
      </c>
      <c r="D49" s="117">
        <f>+Cotizaciones!I46</f>
        <v>80</v>
      </c>
      <c r="E49" s="117">
        <f>B49*D49</f>
        <v>4</v>
      </c>
      <c r="G49" s="3" t="s">
        <v>445</v>
      </c>
      <c r="J49" s="3" t="s">
        <v>268</v>
      </c>
    </row>
    <row r="50" spans="1:10" s="3" customFormat="1" ht="13.8" x14ac:dyDescent="0.3">
      <c r="A50" s="212" t="s">
        <v>282</v>
      </c>
      <c r="B50" s="171">
        <v>4</v>
      </c>
      <c r="C50" s="18" t="s">
        <v>283</v>
      </c>
      <c r="D50" s="117">
        <f>+Cotizaciones!I45</f>
        <v>2.6</v>
      </c>
      <c r="E50" s="117">
        <f>B50*D50</f>
        <v>10.4</v>
      </c>
      <c r="J50" s="536" t="s">
        <v>268</v>
      </c>
    </row>
    <row r="51" spans="1:10" s="3" customFormat="1" ht="13.8" x14ac:dyDescent="0.3">
      <c r="A51" s="212" t="s">
        <v>136</v>
      </c>
      <c r="B51" s="171">
        <v>2</v>
      </c>
      <c r="C51" s="18" t="s">
        <v>421</v>
      </c>
      <c r="D51" s="117">
        <f>Cotizaciones!I14</f>
        <v>7</v>
      </c>
      <c r="E51" s="117">
        <f>+B51*D51</f>
        <v>14</v>
      </c>
      <c r="G51" s="3" t="s">
        <v>446</v>
      </c>
      <c r="J51" s="3" t="s">
        <v>261</v>
      </c>
    </row>
    <row r="52" spans="1:10" s="3" customFormat="1" ht="13.8" x14ac:dyDescent="0.3">
      <c r="A52" s="212"/>
      <c r="B52" s="30"/>
      <c r="C52" s="667" t="s">
        <v>288</v>
      </c>
      <c r="D52" s="667"/>
      <c r="E52" s="176">
        <f>SUM(E40:E51)</f>
        <v>120.02666666666667</v>
      </c>
      <c r="F52" s="159">
        <f>E52/E63</f>
        <v>0.12301259232435313</v>
      </c>
      <c r="G52" s="21">
        <f>E52*$B$3</f>
        <v>0</v>
      </c>
    </row>
    <row r="53" spans="1:10" s="3" customFormat="1" ht="13.8" x14ac:dyDescent="0.3">
      <c r="A53" s="212"/>
      <c r="B53" s="27"/>
      <c r="C53" s="18"/>
      <c r="D53" s="28"/>
      <c r="E53" s="29"/>
    </row>
    <row r="54" spans="1:10" s="3" customFormat="1" ht="13.8" x14ac:dyDescent="0.3">
      <c r="A54" s="238" t="s">
        <v>289</v>
      </c>
      <c r="B54" s="214">
        <v>1</v>
      </c>
      <c r="C54" s="12" t="s">
        <v>290</v>
      </c>
      <c r="D54" s="13">
        <v>85</v>
      </c>
      <c r="E54" s="173">
        <f>+D54*B54</f>
        <v>85</v>
      </c>
      <c r="F54" s="15"/>
    </row>
    <row r="55" spans="1:10" s="3" customFormat="1" ht="13.8" x14ac:dyDescent="0.3">
      <c r="A55" s="213"/>
      <c r="B55" s="36"/>
      <c r="C55" s="667" t="s">
        <v>291</v>
      </c>
      <c r="D55" s="667"/>
      <c r="E55" s="176">
        <f>E54</f>
        <v>85</v>
      </c>
      <c r="F55" s="236">
        <f>E55/E63</f>
        <v>8.7114560771800839E-2</v>
      </c>
      <c r="G55" s="21">
        <f>E55*$B$3</f>
        <v>0</v>
      </c>
    </row>
    <row r="56" spans="1:10" s="3" customFormat="1" ht="13.8" x14ac:dyDescent="0.3">
      <c r="A56" s="213"/>
      <c r="B56" s="36"/>
      <c r="C56" s="18"/>
      <c r="D56" s="28"/>
      <c r="E56" s="29"/>
    </row>
    <row r="57" spans="1:10" s="3" customFormat="1" ht="13.8" x14ac:dyDescent="0.3">
      <c r="A57" s="238" t="s">
        <v>292</v>
      </c>
      <c r="B57" s="182">
        <v>2.8</v>
      </c>
      <c r="C57" s="12" t="s">
        <v>423</v>
      </c>
      <c r="D57" s="177">
        <v>15</v>
      </c>
      <c r="E57" s="178">
        <f>D57</f>
        <v>15</v>
      </c>
      <c r="F57" s="15"/>
    </row>
    <row r="58" spans="1:10" s="3" customFormat="1" ht="13.8" x14ac:dyDescent="0.3">
      <c r="A58" s="213"/>
      <c r="B58" s="36"/>
      <c r="C58" s="667" t="s">
        <v>447</v>
      </c>
      <c r="D58" s="667"/>
      <c r="E58" s="176">
        <f>E57</f>
        <v>15</v>
      </c>
      <c r="F58" s="236">
        <f>E58/E63</f>
        <v>1.5373157783258972E-2</v>
      </c>
      <c r="G58" s="21">
        <f>E58*$B$3</f>
        <v>0</v>
      </c>
    </row>
    <row r="59" spans="1:10" s="3" customFormat="1" ht="13.8" x14ac:dyDescent="0.3">
      <c r="A59" s="213"/>
      <c r="B59" s="36"/>
      <c r="C59" s="7"/>
      <c r="D59" s="7"/>
      <c r="E59" s="38"/>
    </row>
    <row r="60" spans="1:10" s="3" customFormat="1" ht="13.8" x14ac:dyDescent="0.3">
      <c r="A60" s="238" t="s">
        <v>294</v>
      </c>
      <c r="B60" s="70">
        <v>1.5</v>
      </c>
      <c r="C60" s="12" t="s">
        <v>295</v>
      </c>
      <c r="D60" s="71">
        <v>6</v>
      </c>
      <c r="E60" s="64">
        <v>0</v>
      </c>
      <c r="F60" s="15"/>
    </row>
    <row r="61" spans="1:10" s="3" customFormat="1" ht="13.8" x14ac:dyDescent="0.3">
      <c r="A61" s="212"/>
      <c r="B61" s="27"/>
      <c r="C61" s="667" t="s">
        <v>296</v>
      </c>
      <c r="D61" s="667"/>
      <c r="E61" s="176">
        <f>E60</f>
        <v>0</v>
      </c>
      <c r="F61" s="236">
        <f>E61/E63</f>
        <v>0</v>
      </c>
    </row>
    <row r="62" spans="1:10" s="3" customFormat="1" ht="13.8" x14ac:dyDescent="0.3">
      <c r="A62" s="212"/>
      <c r="B62" s="27"/>
      <c r="C62" s="7"/>
      <c r="D62" s="7"/>
      <c r="E62" s="38"/>
    </row>
    <row r="63" spans="1:10" s="3" customFormat="1" ht="13.8" x14ac:dyDescent="0.3">
      <c r="A63" s="224"/>
      <c r="B63" s="73"/>
      <c r="C63" s="673" t="s">
        <v>317</v>
      </c>
      <c r="D63" s="673"/>
      <c r="E63" s="220">
        <f>E22+E25+E28+E31+E37+E52+E55+E58+E61</f>
        <v>975.72666666666669</v>
      </c>
      <c r="F63" s="228">
        <f>F61+F58+F73+F55+F52+F37+F31+F28+F25+F22</f>
        <v>1.0820210956834628</v>
      </c>
    </row>
    <row r="64" spans="1:10" s="3" customFormat="1" ht="13.8" x14ac:dyDescent="0.3">
      <c r="A64" s="238" t="s">
        <v>300</v>
      </c>
      <c r="B64" s="69"/>
      <c r="C64" s="12"/>
      <c r="D64" s="24"/>
      <c r="E64" s="25"/>
      <c r="F64" s="15"/>
    </row>
    <row r="65" spans="1:12" s="3" customFormat="1" ht="13.8" x14ac:dyDescent="0.3">
      <c r="A65" s="213" t="s">
        <v>301</v>
      </c>
      <c r="B65" s="181">
        <v>0</v>
      </c>
      <c r="C65" s="18" t="s">
        <v>302</v>
      </c>
      <c r="D65" s="145">
        <f>Cotizaciones!F24</f>
        <v>3.3</v>
      </c>
      <c r="E65" s="146">
        <f>D65*B65*B79</f>
        <v>0</v>
      </c>
    </row>
    <row r="66" spans="1:12" s="3" customFormat="1" ht="13.8" x14ac:dyDescent="0.3">
      <c r="A66" s="213" t="s">
        <v>303</v>
      </c>
      <c r="B66" s="181">
        <v>0</v>
      </c>
      <c r="C66" s="18" t="s">
        <v>355</v>
      </c>
      <c r="D66" s="145">
        <f>Cotizaciones!I41/210</f>
        <v>1.9523809523809523</v>
      </c>
      <c r="E66" s="146">
        <f>D66*B66*B79</f>
        <v>0</v>
      </c>
    </row>
    <row r="67" spans="1:12" s="3" customFormat="1" ht="13.8" x14ac:dyDescent="0.3">
      <c r="A67" s="213" t="s">
        <v>305</v>
      </c>
      <c r="B67" s="181">
        <v>0</v>
      </c>
      <c r="C67" s="18" t="s">
        <v>371</v>
      </c>
      <c r="D67" s="117">
        <f>Cotizaciones!F31</f>
        <v>3</v>
      </c>
      <c r="E67" s="117">
        <f>+D67*B67*$B$80</f>
        <v>0</v>
      </c>
      <c r="F67" s="94"/>
    </row>
    <row r="68" spans="1:12" s="3" customFormat="1" ht="13.8" x14ac:dyDescent="0.3">
      <c r="A68" s="213" t="s">
        <v>306</v>
      </c>
      <c r="B68" s="181">
        <v>0.5</v>
      </c>
      <c r="C68" s="18" t="s">
        <v>371</v>
      </c>
      <c r="D68" s="117">
        <f>Cotizaciones!F35</f>
        <v>5</v>
      </c>
      <c r="E68" s="117">
        <f>+D68*B68*$B$80</f>
        <v>6.5</v>
      </c>
      <c r="F68" s="94"/>
    </row>
    <row r="69" spans="1:12" s="3" customFormat="1" ht="13.8" x14ac:dyDescent="0.3">
      <c r="A69" s="213" t="s">
        <v>83</v>
      </c>
      <c r="B69" s="181">
        <v>0.5</v>
      </c>
      <c r="C69" s="18" t="s">
        <v>371</v>
      </c>
      <c r="D69" s="117">
        <f>+Cotizaciones!F36</f>
        <v>6.5</v>
      </c>
      <c r="E69" s="117">
        <f>+D69*B69*$B$80</f>
        <v>8.4500000000000011</v>
      </c>
      <c r="F69" s="94"/>
    </row>
    <row r="70" spans="1:12" s="3" customFormat="1" ht="13.8" x14ac:dyDescent="0.3">
      <c r="A70" s="213" t="s">
        <v>307</v>
      </c>
      <c r="B70" s="181">
        <v>1</v>
      </c>
      <c r="C70" s="18" t="s">
        <v>371</v>
      </c>
      <c r="D70" s="117">
        <f>+Cotizaciones!E5/Cotizaciones!M20</f>
        <v>0.53083472598960413</v>
      </c>
      <c r="E70" s="117">
        <f>+D70*B70*$B$80</f>
        <v>1.3801702875729709</v>
      </c>
      <c r="F70" s="94"/>
    </row>
    <row r="71" spans="1:12" s="3" customFormat="1" ht="13.8" x14ac:dyDescent="0.3">
      <c r="A71" s="213" t="s">
        <v>308</v>
      </c>
      <c r="B71" s="181">
        <v>1</v>
      </c>
      <c r="C71" s="18" t="s">
        <v>371</v>
      </c>
      <c r="D71" s="522">
        <f>+'Maiz SP'!D69</f>
        <v>20</v>
      </c>
      <c r="E71" s="117">
        <f>+D71*B71*$B$80</f>
        <v>52</v>
      </c>
      <c r="F71" s="94"/>
    </row>
    <row r="72" spans="1:12" s="3" customFormat="1" ht="13.8" x14ac:dyDescent="0.3">
      <c r="A72" s="213" t="s">
        <v>309</v>
      </c>
      <c r="B72" s="181">
        <v>1</v>
      </c>
      <c r="C72" s="18" t="s">
        <v>295</v>
      </c>
      <c r="D72" s="237">
        <f>B72%*B80*Cotizaciones!B12</f>
        <v>11.700000000000001</v>
      </c>
      <c r="E72" s="117">
        <f>+D72</f>
        <v>11.700000000000001</v>
      </c>
      <c r="F72" s="94"/>
    </row>
    <row r="73" spans="1:12" s="3" customFormat="1" ht="13.8" x14ac:dyDescent="0.3">
      <c r="A73" s="213"/>
      <c r="B73" s="37"/>
      <c r="C73" s="667" t="s">
        <v>310</v>
      </c>
      <c r="D73" s="667"/>
      <c r="E73" s="176">
        <f>SUM(E67:E72)</f>
        <v>80.030170287572972</v>
      </c>
      <c r="F73" s="159">
        <f>E73/E63</f>
        <v>8.2021095683462886E-2</v>
      </c>
      <c r="G73" s="21">
        <f>E73*$B$3</f>
        <v>0</v>
      </c>
    </row>
    <row r="74" spans="1:12" s="3" customFormat="1" ht="13.8" x14ac:dyDescent="0.3">
      <c r="A74" s="213"/>
      <c r="B74" s="37"/>
      <c r="C74" s="566"/>
      <c r="D74" s="566"/>
      <c r="E74" s="227"/>
      <c r="F74" s="581"/>
      <c r="G74" s="33"/>
    </row>
    <row r="75" spans="1:12" s="3" customFormat="1" ht="13.8" x14ac:dyDescent="0.3">
      <c r="A75" s="213" t="s">
        <v>356</v>
      </c>
      <c r="B75" s="27"/>
      <c r="C75" s="566"/>
      <c r="D75" s="566"/>
      <c r="E75" s="227">
        <v>340</v>
      </c>
      <c r="F75" s="581"/>
      <c r="G75" s="33"/>
    </row>
    <row r="76" spans="1:12" s="3" customFormat="1" ht="13.8" x14ac:dyDescent="0.3">
      <c r="A76" s="213" t="s">
        <v>311</v>
      </c>
      <c r="B76" s="30"/>
      <c r="C76" s="18"/>
      <c r="D76" s="28"/>
      <c r="E76" s="227">
        <f>+E73/B80</f>
        <v>30.780834725989603</v>
      </c>
      <c r="F76" s="581"/>
      <c r="G76" s="33"/>
    </row>
    <row r="77" spans="1:12" s="3" customFormat="1" ht="13.8" x14ac:dyDescent="0.3">
      <c r="A77" s="213" t="s">
        <v>312</v>
      </c>
      <c r="D77" s="28"/>
      <c r="E77" s="227">
        <f>+E75-E76</f>
        <v>309.21916527401038</v>
      </c>
      <c r="F77" s="581"/>
      <c r="G77" s="33"/>
    </row>
    <row r="78" spans="1:12" s="3" customFormat="1" thickBot="1" x14ac:dyDescent="0.35">
      <c r="D78" s="28"/>
      <c r="E78" s="18"/>
    </row>
    <row r="79" spans="1:12" s="3" customFormat="1" thickBot="1" x14ac:dyDescent="0.35">
      <c r="A79" s="670" t="s">
        <v>448</v>
      </c>
      <c r="B79" s="671"/>
      <c r="C79" s="672"/>
      <c r="D79" s="28"/>
      <c r="E79" s="39"/>
      <c r="H79" s="661" t="s">
        <v>203</v>
      </c>
      <c r="I79" s="661"/>
      <c r="J79" s="660" t="s">
        <v>299</v>
      </c>
      <c r="K79" s="660"/>
      <c r="L79" s="3" t="s">
        <v>370</v>
      </c>
    </row>
    <row r="80" spans="1:12" s="3" customFormat="1" ht="13.8" x14ac:dyDescent="0.3">
      <c r="A80" s="240" t="s">
        <v>315</v>
      </c>
      <c r="B80" s="568">
        <v>2.6</v>
      </c>
      <c r="C80" s="194" t="s">
        <v>316</v>
      </c>
      <c r="D80" s="33"/>
      <c r="E80" s="33"/>
      <c r="F80" s="33"/>
      <c r="G80" s="3" t="s">
        <v>204</v>
      </c>
      <c r="H80" s="639"/>
      <c r="I80" s="642">
        <f>+H80*B$3</f>
        <v>0</v>
      </c>
      <c r="J80" s="639">
        <f>+E22</f>
        <v>100.5</v>
      </c>
      <c r="K80" s="644">
        <f>+J80*B$3</f>
        <v>0</v>
      </c>
      <c r="L80" s="639">
        <f t="shared" ref="L80:L86" si="1">+J80+H80</f>
        <v>100.5</v>
      </c>
    </row>
    <row r="81" spans="1:12" s="3" customFormat="1" ht="13.8" x14ac:dyDescent="0.3">
      <c r="A81" s="241" t="s">
        <v>341</v>
      </c>
      <c r="B81" s="528">
        <f>+E77</f>
        <v>309.21916527401038</v>
      </c>
      <c r="C81" s="196" t="s">
        <v>275</v>
      </c>
      <c r="D81" s="33"/>
      <c r="E81" s="33"/>
      <c r="F81" s="33"/>
      <c r="G81" s="3" t="s">
        <v>205</v>
      </c>
      <c r="H81" s="640">
        <v>0</v>
      </c>
      <c r="I81" s="642">
        <f t="shared" ref="I81:I85" si="2">+H81*B$3</f>
        <v>0</v>
      </c>
      <c r="J81" s="639">
        <f>+E25</f>
        <v>99</v>
      </c>
      <c r="K81" s="644">
        <f t="shared" ref="K81:K85" si="3">+J81*B$3</f>
        <v>0</v>
      </c>
      <c r="L81" s="639">
        <f t="shared" si="1"/>
        <v>99</v>
      </c>
    </row>
    <row r="82" spans="1:12" s="3" customFormat="1" ht="13.8" x14ac:dyDescent="0.3">
      <c r="A82" s="40" t="s">
        <v>425</v>
      </c>
      <c r="B82" s="195">
        <f>E75*0.15</f>
        <v>51</v>
      </c>
      <c r="C82" s="196" t="s">
        <v>275</v>
      </c>
      <c r="D82" s="28"/>
      <c r="E82" s="18"/>
      <c r="G82" s="3" t="s">
        <v>206</v>
      </c>
      <c r="H82" s="639">
        <f>+E28</f>
        <v>426</v>
      </c>
      <c r="I82" s="642">
        <f t="shared" si="2"/>
        <v>0</v>
      </c>
      <c r="J82" s="639"/>
      <c r="K82" s="644">
        <f t="shared" si="3"/>
        <v>0</v>
      </c>
      <c r="L82" s="639">
        <f t="shared" si="1"/>
        <v>426</v>
      </c>
    </row>
    <row r="83" spans="1:12" s="3" customFormat="1" ht="13.8" x14ac:dyDescent="0.3">
      <c r="A83" s="40" t="s">
        <v>426</v>
      </c>
      <c r="B83" s="195">
        <v>0</v>
      </c>
      <c r="C83" s="196" t="s">
        <v>275</v>
      </c>
      <c r="D83" s="28"/>
      <c r="E83" s="18"/>
      <c r="G83" s="3" t="s">
        <v>207</v>
      </c>
      <c r="H83" s="640">
        <f>+E31</f>
        <v>30</v>
      </c>
      <c r="I83" s="642">
        <f t="shared" si="2"/>
        <v>0</v>
      </c>
      <c r="J83" s="639"/>
      <c r="K83" s="644">
        <f t="shared" si="3"/>
        <v>0</v>
      </c>
      <c r="L83" s="639">
        <f t="shared" si="1"/>
        <v>30</v>
      </c>
    </row>
    <row r="84" spans="1:12" s="3" customFormat="1" ht="13.8" x14ac:dyDescent="0.3">
      <c r="A84" s="40" t="s">
        <v>449</v>
      </c>
      <c r="B84" s="528">
        <v>20</v>
      </c>
      <c r="C84" s="196" t="s">
        <v>21</v>
      </c>
      <c r="D84" s="28"/>
      <c r="E84" s="18"/>
      <c r="G84" s="3" t="s">
        <v>140</v>
      </c>
      <c r="H84" s="640">
        <f>+E37</f>
        <v>100.2</v>
      </c>
      <c r="I84" s="642">
        <f t="shared" si="2"/>
        <v>0</v>
      </c>
      <c r="J84" s="639">
        <v>0</v>
      </c>
      <c r="K84" s="644">
        <f t="shared" si="3"/>
        <v>0</v>
      </c>
      <c r="L84" s="639">
        <f t="shared" si="1"/>
        <v>100.2</v>
      </c>
    </row>
    <row r="85" spans="1:12" s="3" customFormat="1" ht="13.8" x14ac:dyDescent="0.3">
      <c r="A85" s="40" t="s">
        <v>433</v>
      </c>
      <c r="B85" s="195">
        <f>SUM(B81:B84)</f>
        <v>380.21916527401038</v>
      </c>
      <c r="C85" s="196" t="s">
        <v>275</v>
      </c>
      <c r="D85" s="28"/>
      <c r="E85" s="18"/>
      <c r="G85" s="3" t="s">
        <v>118</v>
      </c>
      <c r="H85" s="639"/>
      <c r="I85" s="642">
        <f t="shared" si="2"/>
        <v>0</v>
      </c>
      <c r="J85" s="640">
        <f>+E52</f>
        <v>120.02666666666667</v>
      </c>
      <c r="K85" s="644">
        <f t="shared" si="3"/>
        <v>0</v>
      </c>
      <c r="L85" s="639">
        <f t="shared" si="1"/>
        <v>120.02666666666667</v>
      </c>
    </row>
    <row r="86" spans="1:12" s="3" customFormat="1" ht="13.8" x14ac:dyDescent="0.3">
      <c r="A86" s="242" t="s">
        <v>317</v>
      </c>
      <c r="B86" s="244">
        <f>E63</f>
        <v>975.72666666666669</v>
      </c>
      <c r="C86" s="197" t="s">
        <v>21</v>
      </c>
      <c r="D86" s="28"/>
      <c r="E86" s="30"/>
      <c r="H86" s="639"/>
      <c r="I86" s="642"/>
      <c r="J86" s="640"/>
      <c r="K86" s="644"/>
      <c r="L86" s="639">
        <f t="shared" si="1"/>
        <v>0</v>
      </c>
    </row>
    <row r="87" spans="1:12" s="3" customFormat="1" ht="13.8" x14ac:dyDescent="0.3">
      <c r="A87" s="190" t="s">
        <v>322</v>
      </c>
      <c r="B87" s="195">
        <f>+B85*B80*0.98</f>
        <v>968.79843311817842</v>
      </c>
      <c r="C87" s="196" t="s">
        <v>318</v>
      </c>
      <c r="D87" s="28"/>
      <c r="E87" s="30"/>
      <c r="G87" s="3" t="s">
        <v>199</v>
      </c>
      <c r="H87" s="640"/>
      <c r="I87" s="642"/>
      <c r="J87" s="639"/>
      <c r="K87" s="644"/>
      <c r="L87" s="639"/>
    </row>
    <row r="88" spans="1:12" s="3" customFormat="1" ht="13.8" x14ac:dyDescent="0.3">
      <c r="A88" s="242" t="s">
        <v>321</v>
      </c>
      <c r="B88" s="244">
        <f>+B87-B86</f>
        <v>-6.9282335484882651</v>
      </c>
      <c r="C88" s="197" t="s">
        <v>318</v>
      </c>
      <c r="D88" s="28"/>
      <c r="E88" s="30"/>
      <c r="G88" s="591"/>
      <c r="H88" s="641">
        <f>SUM(H80:H87)</f>
        <v>556.20000000000005</v>
      </c>
      <c r="I88" s="643">
        <f t="shared" ref="I88:K88" si="4">SUM(I80:I87)</f>
        <v>0</v>
      </c>
      <c r="J88" s="641">
        <f t="shared" si="4"/>
        <v>319.52666666666664</v>
      </c>
      <c r="K88" s="645">
        <f t="shared" si="4"/>
        <v>0</v>
      </c>
      <c r="L88" s="639">
        <f>+J88+H88</f>
        <v>875.72666666666669</v>
      </c>
    </row>
    <row r="89" spans="1:12" s="3" customFormat="1" ht="13.8" x14ac:dyDescent="0.3">
      <c r="A89" s="242" t="s">
        <v>325</v>
      </c>
      <c r="B89" s="273">
        <f>B88/B86</f>
        <v>-7.1005885000118866E-3</v>
      </c>
      <c r="C89" s="197"/>
      <c r="D89" s="28"/>
      <c r="E89" s="30"/>
      <c r="H89" s="662">
        <f>+H88/L88</f>
        <v>0.6351296827777313</v>
      </c>
      <c r="I89" s="662"/>
      <c r="J89" s="663">
        <f>+J88/L88</f>
        <v>0.3648703172222687</v>
      </c>
      <c r="K89" s="663"/>
      <c r="L89" s="92"/>
    </row>
    <row r="90" spans="1:12" s="3" customFormat="1" ht="13.8" x14ac:dyDescent="0.3">
      <c r="A90" s="241" t="s">
        <v>326</v>
      </c>
      <c r="B90" s="246">
        <f>+B86/B85</f>
        <v>2.5662216841791636</v>
      </c>
      <c r="C90" s="197"/>
      <c r="D90" s="28"/>
      <c r="E90" s="30"/>
    </row>
    <row r="91" spans="1:12" s="3" customFormat="1" ht="13.8" x14ac:dyDescent="0.3">
      <c r="A91" s="242" t="s">
        <v>164</v>
      </c>
      <c r="B91" s="247">
        <f>+E52+E37+E31+E28+E25+E22</f>
        <v>875.72666666666669</v>
      </c>
      <c r="C91" s="197"/>
      <c r="D91" s="271"/>
      <c r="E91" s="30"/>
    </row>
    <row r="92" spans="1:12" s="3" customFormat="1" thickBot="1" x14ac:dyDescent="0.35">
      <c r="A92" s="243" t="s">
        <v>327</v>
      </c>
      <c r="B92" s="556">
        <f>+B88/B91</f>
        <v>-7.9114109598370855E-3</v>
      </c>
      <c r="C92" s="199"/>
      <c r="D92" s="271"/>
      <c r="E92" s="30"/>
    </row>
    <row r="93" spans="1:12" s="3" customFormat="1" ht="13.8" x14ac:dyDescent="0.3">
      <c r="A93" s="18"/>
      <c r="B93" s="41"/>
      <c r="C93" s="41"/>
      <c r="D93" s="28"/>
      <c r="E93" s="30"/>
    </row>
    <row r="94" spans="1:12" s="3" customFormat="1" ht="13.8" x14ac:dyDescent="0.3">
      <c r="A94" s="668" t="s">
        <v>317</v>
      </c>
      <c r="B94" s="668"/>
      <c r="C94" s="42">
        <f>E63</f>
        <v>975.72666666666669</v>
      </c>
      <c r="D94" s="6"/>
    </row>
    <row r="95" spans="1:12" s="3" customFormat="1" ht="13.8" x14ac:dyDescent="0.3">
      <c r="A95" s="669" t="s">
        <v>359</v>
      </c>
      <c r="B95" s="669"/>
      <c r="C95" s="669"/>
      <c r="D95" s="669"/>
      <c r="E95" s="669"/>
      <c r="F95" s="669"/>
      <c r="G95" s="669"/>
      <c r="H95" s="669"/>
    </row>
    <row r="96" spans="1:12" s="3" customFormat="1" ht="13.8" x14ac:dyDescent="0.3">
      <c r="A96" s="43" t="s">
        <v>332</v>
      </c>
      <c r="B96" s="44">
        <f>B105</f>
        <v>1.7000000000000004</v>
      </c>
      <c r="C96" s="44">
        <f t="shared" ref="C96:H96" si="5">C105</f>
        <v>2.0000000000000004</v>
      </c>
      <c r="D96" s="44">
        <f t="shared" si="5"/>
        <v>2.3000000000000003</v>
      </c>
      <c r="E96" s="44">
        <f t="shared" si="5"/>
        <v>2.6</v>
      </c>
      <c r="F96" s="44">
        <f t="shared" si="5"/>
        <v>2.9</v>
      </c>
      <c r="G96" s="44">
        <f t="shared" si="5"/>
        <v>3.1999999999999997</v>
      </c>
      <c r="H96" s="44">
        <f t="shared" si="5"/>
        <v>3.4999999999999996</v>
      </c>
    </row>
    <row r="97" spans="1:8" s="3" customFormat="1" ht="13.8" x14ac:dyDescent="0.3">
      <c r="A97" s="47">
        <f>A98-10</f>
        <v>945.72666666666669</v>
      </c>
      <c r="B97" s="48">
        <f>B106/C94*100</f>
        <v>-38.981622486575709</v>
      </c>
      <c r="C97" s="48">
        <f>C106/C94*100</f>
        <v>-28.213673513618481</v>
      </c>
      <c r="D97" s="48">
        <f>D106/C94*100</f>
        <v>-17.445724540661253</v>
      </c>
      <c r="E97" s="49">
        <f>E106/C94*100</f>
        <v>-6.677775567704038</v>
      </c>
      <c r="F97" s="48">
        <f>F106/C94*100</f>
        <v>4.0901734052531786</v>
      </c>
      <c r="G97" s="48">
        <f>G106/C94*100</f>
        <v>14.858122378210394</v>
      </c>
      <c r="H97" s="50">
        <f>H106/C94*100</f>
        <v>25.626071351167624</v>
      </c>
    </row>
    <row r="98" spans="1:8" s="3" customFormat="1" ht="13.8" x14ac:dyDescent="0.3">
      <c r="A98" s="47">
        <f>A99-10</f>
        <v>955.72666666666669</v>
      </c>
      <c r="B98" s="48">
        <f>B107/C94*100</f>
        <v>-37.23933127113969</v>
      </c>
      <c r="C98" s="48">
        <f>C107/C94*100</f>
        <v>-26.163919142517283</v>
      </c>
      <c r="D98" s="48">
        <f>D107/C94*100</f>
        <v>-15.088507013894878</v>
      </c>
      <c r="E98" s="49">
        <f>E107/C94*100</f>
        <v>-4.0130948852724817</v>
      </c>
      <c r="F98" s="48">
        <f>F107/C94*100</f>
        <v>7.0623172433499253</v>
      </c>
      <c r="G98" s="48">
        <f>G107/C94*100</f>
        <v>18.137729371972309</v>
      </c>
      <c r="H98" s="50">
        <f>H107/C94*100</f>
        <v>29.213141500594713</v>
      </c>
    </row>
    <row r="99" spans="1:8" s="3" customFormat="1" ht="13.8" x14ac:dyDescent="0.3">
      <c r="A99" s="47">
        <f>A100-10</f>
        <v>965.72666666666669</v>
      </c>
      <c r="B99" s="48">
        <f>B108/C94*100</f>
        <v>-35.497040055703671</v>
      </c>
      <c r="C99" s="48">
        <f>C108/C94*100</f>
        <v>-24.114164771416089</v>
      </c>
      <c r="D99" s="48">
        <f>D108/C94*100</f>
        <v>-12.731289487128503</v>
      </c>
      <c r="E99" s="49">
        <f>E108/C94*100</f>
        <v>-1.3484142028409267</v>
      </c>
      <c r="F99" s="48">
        <f>F108/C94*100</f>
        <v>10.034461081446659</v>
      </c>
      <c r="G99" s="48">
        <f>G108/C94*100</f>
        <v>21.417336365734222</v>
      </c>
      <c r="H99" s="50">
        <f>H108/C94*100</f>
        <v>32.800211650021808</v>
      </c>
    </row>
    <row r="100" spans="1:8" s="3" customFormat="1" ht="13.8" x14ac:dyDescent="0.3">
      <c r="A100" s="51">
        <f>B86</f>
        <v>975.72666666666669</v>
      </c>
      <c r="B100" s="52">
        <f>B109/C94*100</f>
        <v>-33.754748840267659</v>
      </c>
      <c r="C100" s="53">
        <f>C109/C94*100</f>
        <v>-22.064410400314891</v>
      </c>
      <c r="D100" s="53">
        <f>D109/C94*100</f>
        <v>-10.374071960362127</v>
      </c>
      <c r="E100" s="54">
        <f>E109/C94*100</f>
        <v>1.3162664795906287</v>
      </c>
      <c r="F100" s="53">
        <f>F109/C94*100</f>
        <v>13.006604919543394</v>
      </c>
      <c r="G100" s="53">
        <f>G109/C94*100</f>
        <v>24.696943359496139</v>
      </c>
      <c r="H100" s="55">
        <f>H109/C94*100</f>
        <v>36.3872817994489</v>
      </c>
    </row>
    <row r="101" spans="1:8" s="3" customFormat="1" ht="13.8" x14ac:dyDescent="0.3">
      <c r="A101" s="47">
        <f>A100+10</f>
        <v>985.72666666666669</v>
      </c>
      <c r="B101" s="56">
        <f>B110/C94*100</f>
        <v>-32.01245762483164</v>
      </c>
      <c r="C101" s="56">
        <f>C110/C94*100</f>
        <v>-20.014656029213683</v>
      </c>
      <c r="D101" s="56">
        <f>D110/C94*100</f>
        <v>-8.0168544335957499</v>
      </c>
      <c r="E101" s="57">
        <f>E110/C94*100</f>
        <v>3.9809471620221837</v>
      </c>
      <c r="F101" s="56">
        <f>F110/C94*100</f>
        <v>15.97874875764013</v>
      </c>
      <c r="G101" s="56">
        <f>G110/C94*100</f>
        <v>27.976550353258052</v>
      </c>
      <c r="H101" s="58">
        <f>H110/C94*100</f>
        <v>39.974351948875999</v>
      </c>
    </row>
    <row r="102" spans="1:8" s="3" customFormat="1" ht="13.8" x14ac:dyDescent="0.3">
      <c r="A102" s="47">
        <f>A101+10</f>
        <v>995.72666666666669</v>
      </c>
      <c r="B102" s="56">
        <f>B111/C94*100</f>
        <v>-30.27016640939561</v>
      </c>
      <c r="C102" s="56">
        <f>C111/C94*100</f>
        <v>-17.964901658112488</v>
      </c>
      <c r="D102" s="56">
        <f>D111/C94*100</f>
        <v>-5.6596369068293741</v>
      </c>
      <c r="E102" s="57">
        <f>E111/C94*100</f>
        <v>6.6456278444537382</v>
      </c>
      <c r="F102" s="56">
        <f>F111/C94*100</f>
        <v>18.950892595736864</v>
      </c>
      <c r="G102" s="56">
        <f>G111/C94*100</f>
        <v>31.256157347019965</v>
      </c>
      <c r="H102" s="58">
        <f>H111/C94*100</f>
        <v>43.56142209830309</v>
      </c>
    </row>
    <row r="103" spans="1:8" s="3" customFormat="1" ht="13.8" x14ac:dyDescent="0.3">
      <c r="A103" s="47">
        <f>A102+10</f>
        <v>1005.7266666666667</v>
      </c>
      <c r="B103" s="56">
        <f>B112/C94*100</f>
        <v>-28.527875193959595</v>
      </c>
      <c r="C103" s="56">
        <f>C112/C94*100</f>
        <v>-15.915147287011292</v>
      </c>
      <c r="D103" s="56">
        <f>D112/C94*100</f>
        <v>-3.302419380062998</v>
      </c>
      <c r="E103" s="57">
        <f>E112/C94*100</f>
        <v>9.3103085268852936</v>
      </c>
      <c r="F103" s="56">
        <f>F112/C94*100</f>
        <v>21.923036433833598</v>
      </c>
      <c r="G103" s="56">
        <f>G112/C94*100</f>
        <v>34.535764340781874</v>
      </c>
      <c r="H103" s="58">
        <f>H112/C94*100</f>
        <v>47.148492247730182</v>
      </c>
    </row>
    <row r="104" spans="1:8" s="3" customFormat="1" ht="13.8" x14ac:dyDescent="0.3">
      <c r="A104" s="669" t="s">
        <v>404</v>
      </c>
      <c r="B104" s="669"/>
      <c r="C104" s="669"/>
      <c r="D104" s="669"/>
      <c r="E104" s="669"/>
      <c r="F104" s="669"/>
      <c r="G104" s="669"/>
      <c r="H104" s="669"/>
    </row>
    <row r="105" spans="1:8" s="3" customFormat="1" ht="13.8" x14ac:dyDescent="0.3">
      <c r="A105" s="43" t="s">
        <v>332</v>
      </c>
      <c r="B105" s="44">
        <f>C105-0.3</f>
        <v>1.7000000000000004</v>
      </c>
      <c r="C105" s="44">
        <f>D105-0.3</f>
        <v>2.0000000000000004</v>
      </c>
      <c r="D105" s="44">
        <f>E105-0.3</f>
        <v>2.3000000000000003</v>
      </c>
      <c r="E105" s="45">
        <f>B80</f>
        <v>2.6</v>
      </c>
      <c r="F105" s="44">
        <f>E105+0.3</f>
        <v>2.9</v>
      </c>
      <c r="G105" s="44">
        <f>F105+0.3</f>
        <v>3.1999999999999997</v>
      </c>
      <c r="H105" s="44">
        <f>G105+0.3</f>
        <v>3.4999999999999996</v>
      </c>
    </row>
    <row r="106" spans="1:8" s="3" customFormat="1" x14ac:dyDescent="0.3">
      <c r="A106" s="47">
        <f>A107-10</f>
        <v>350.21916527401038</v>
      </c>
      <c r="B106" s="420">
        <f>(B105*A106)-C94</f>
        <v>-380.35408570084894</v>
      </c>
      <c r="C106" s="420">
        <f>(C105*A106)-C94</f>
        <v>-275.28833611864582</v>
      </c>
      <c r="D106" s="420">
        <f>(D105*A106)-C94</f>
        <v>-170.22258653644269</v>
      </c>
      <c r="E106" s="420">
        <f>(E105*A106)-C94</f>
        <v>-65.156836954239679</v>
      </c>
      <c r="F106" s="420">
        <f>(F105*A106)-C94</f>
        <v>39.908912627963332</v>
      </c>
      <c r="G106" s="420">
        <f>(G105*A106)-C94</f>
        <v>144.97466221016634</v>
      </c>
      <c r="H106" s="420">
        <f>(H105*A106)-C94</f>
        <v>250.04041179236947</v>
      </c>
    </row>
    <row r="107" spans="1:8" s="3" customFormat="1" x14ac:dyDescent="0.3">
      <c r="A107" s="47">
        <f>A108-10</f>
        <v>360.21916527401038</v>
      </c>
      <c r="B107" s="420">
        <f>(B105*A107)-C94</f>
        <v>-363.35408570084894</v>
      </c>
      <c r="C107" s="420">
        <f>(C105*A107)-C94</f>
        <v>-255.28833611864582</v>
      </c>
      <c r="D107" s="420">
        <f>(D105*A107)-C94</f>
        <v>-147.22258653644269</v>
      </c>
      <c r="E107" s="420">
        <f>(E105*A107)-C94</f>
        <v>-39.156836954239679</v>
      </c>
      <c r="F107" s="420">
        <f>(F105*A107)-C94</f>
        <v>68.908912627963446</v>
      </c>
      <c r="G107" s="420">
        <f>(G105*A107)-C94</f>
        <v>176.97466221016634</v>
      </c>
      <c r="H107" s="420">
        <f>(H105*A107)-C94</f>
        <v>285.04041179236947</v>
      </c>
    </row>
    <row r="108" spans="1:8" s="3" customFormat="1" x14ac:dyDescent="0.3">
      <c r="A108" s="47">
        <f>A109-10</f>
        <v>370.21916527401038</v>
      </c>
      <c r="B108" s="420">
        <f>(A108*B105)-C94</f>
        <v>-346.35408570084894</v>
      </c>
      <c r="C108" s="420">
        <f>(C105*A108)-C94</f>
        <v>-235.28833611864582</v>
      </c>
      <c r="D108" s="420">
        <f>(D105*A108)-C94</f>
        <v>-124.22258653644269</v>
      </c>
      <c r="E108" s="420">
        <f>(E105*A108)-C94</f>
        <v>-13.156836954239679</v>
      </c>
      <c r="F108" s="420">
        <f>(F105*A108)-C94</f>
        <v>97.908912627963446</v>
      </c>
      <c r="G108" s="420">
        <f>(G105*A108)-C94</f>
        <v>208.97466221016634</v>
      </c>
      <c r="H108" s="420">
        <f>(H105*A108)-C94</f>
        <v>320.04041179236947</v>
      </c>
    </row>
    <row r="109" spans="1:8" s="3" customFormat="1" x14ac:dyDescent="0.3">
      <c r="A109" s="51">
        <f>B85</f>
        <v>380.21916527401038</v>
      </c>
      <c r="B109" s="420">
        <f>(A109*B105)-C94</f>
        <v>-329.35408570084894</v>
      </c>
      <c r="C109" s="420">
        <f>(A109*C105)-C94</f>
        <v>-215.28833611864582</v>
      </c>
      <c r="D109" s="420">
        <f>(D105*A109)-C94</f>
        <v>-101.22258653644269</v>
      </c>
      <c r="E109" s="420">
        <f>(A109*E105)-C94</f>
        <v>12.843163045760321</v>
      </c>
      <c r="F109" s="420">
        <f>(A109*F105)-C94</f>
        <v>126.90891262796345</v>
      </c>
      <c r="G109" s="420">
        <f>(G105*A109)-C94</f>
        <v>240.97466221016634</v>
      </c>
      <c r="H109" s="420">
        <f>(H105*A109)-C94</f>
        <v>355.04041179236947</v>
      </c>
    </row>
    <row r="110" spans="1:8" s="3" customFormat="1" x14ac:dyDescent="0.3">
      <c r="A110" s="47">
        <f>A109+10</f>
        <v>390.21916527401038</v>
      </c>
      <c r="B110" s="420">
        <f>(A110*B105)-C94</f>
        <v>-312.35408570084894</v>
      </c>
      <c r="C110" s="420">
        <f>(C105*A110)-C94</f>
        <v>-195.2883361186457</v>
      </c>
      <c r="D110" s="420">
        <f>(D105*A110)-C94</f>
        <v>-78.222586536442691</v>
      </c>
      <c r="E110" s="420">
        <f>(E105*A110)-C94</f>
        <v>38.843163045760321</v>
      </c>
      <c r="F110" s="420">
        <f>(F105*A110)-C94</f>
        <v>155.90891262796345</v>
      </c>
      <c r="G110" s="420">
        <f>(G105*A110)-C94</f>
        <v>272.97466221016634</v>
      </c>
      <c r="H110" s="420">
        <f>(H105*A110)-C94</f>
        <v>390.04041179236947</v>
      </c>
    </row>
    <row r="111" spans="1:8" s="3" customFormat="1" x14ac:dyDescent="0.3">
      <c r="A111" s="47">
        <f>A110+10</f>
        <v>400.21916527401038</v>
      </c>
      <c r="B111" s="420">
        <f>(A111*B105)-C94</f>
        <v>-295.35408570084883</v>
      </c>
      <c r="C111" s="420">
        <f>(C105*A111)-C94</f>
        <v>-175.2883361186457</v>
      </c>
      <c r="D111" s="420">
        <f>(D105*A111)-C94</f>
        <v>-55.222586536442691</v>
      </c>
      <c r="E111" s="420">
        <f>(E105*A111)-C94</f>
        <v>64.843163045760321</v>
      </c>
      <c r="F111" s="420">
        <f>(F105*A111)-C94</f>
        <v>184.90891262796345</v>
      </c>
      <c r="G111" s="420">
        <f>(G105*A111)-C94</f>
        <v>304.97466221016634</v>
      </c>
      <c r="H111" s="420">
        <f>(H105*A111)-C94</f>
        <v>425.04041179236947</v>
      </c>
    </row>
    <row r="112" spans="1:8" x14ac:dyDescent="0.3">
      <c r="A112" s="59">
        <f>A111+10</f>
        <v>410.21916527401038</v>
      </c>
      <c r="B112" s="420">
        <f>(B105*A112)-C94</f>
        <v>-278.35408570084883</v>
      </c>
      <c r="C112" s="420">
        <f>(C105*A112)-C94</f>
        <v>-155.2883361186457</v>
      </c>
      <c r="D112" s="420">
        <f>(D105*A112)-C94</f>
        <v>-32.222586536442691</v>
      </c>
      <c r="E112" s="420">
        <f>(E105*A112)-C94</f>
        <v>90.843163045760321</v>
      </c>
      <c r="F112" s="420">
        <f>(F105*A112)-C94</f>
        <v>213.90891262796345</v>
      </c>
      <c r="G112" s="420">
        <f>(G105*A112)-C94</f>
        <v>336.97466221016634</v>
      </c>
      <c r="H112" s="420">
        <f>(A112*H105)-C94</f>
        <v>460.04041179236947</v>
      </c>
    </row>
  </sheetData>
  <mergeCells count="20">
    <mergeCell ref="A94:B94"/>
    <mergeCell ref="A95:H95"/>
    <mergeCell ref="A104:H104"/>
    <mergeCell ref="C55:D55"/>
    <mergeCell ref="C73:D73"/>
    <mergeCell ref="C58:D58"/>
    <mergeCell ref="C61:D61"/>
    <mergeCell ref="A79:C79"/>
    <mergeCell ref="C63:D63"/>
    <mergeCell ref="J79:K79"/>
    <mergeCell ref="H79:I79"/>
    <mergeCell ref="H89:I89"/>
    <mergeCell ref="J89:K89"/>
    <mergeCell ref="A1:H1"/>
    <mergeCell ref="C22:D22"/>
    <mergeCell ref="C25:D25"/>
    <mergeCell ref="C28:D28"/>
    <mergeCell ref="C31:D31"/>
    <mergeCell ref="C37:D37"/>
    <mergeCell ref="C52:D52"/>
  </mergeCells>
  <pageMargins left="0.78749999999999998" right="0.78749999999999998" top="1.0527777777777778" bottom="1.0527777777777778" header="0.78749999999999998" footer="0.78749999999999998"/>
  <pageSetup paperSize="9" scale="55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6"/>
  <sheetViews>
    <sheetView showGridLines="0" topLeftCell="A40" zoomScale="95" zoomScaleNormal="95" workbookViewId="0">
      <selection activeCell="E48" sqref="E48"/>
    </sheetView>
  </sheetViews>
  <sheetFormatPr baseColWidth="10" defaultColWidth="10.6640625" defaultRowHeight="14.4" x14ac:dyDescent="0.3"/>
  <cols>
    <col min="1" max="1" width="30.44140625" style="1" customWidth="1"/>
    <col min="2" max="2" width="10.5546875" style="1" bestFit="1" customWidth="1"/>
    <col min="3" max="3" width="9.44140625" style="1" customWidth="1"/>
    <col min="4" max="4" width="9.88671875" style="2" customWidth="1"/>
    <col min="5" max="5" width="10.44140625" style="1" customWidth="1"/>
    <col min="6" max="6" width="8" style="1" customWidth="1"/>
    <col min="7" max="7" width="14.6640625" style="1" customWidth="1"/>
    <col min="8" max="8" width="6.5546875" style="1" bestFit="1" customWidth="1"/>
    <col min="9" max="16384" width="10.6640625" style="1"/>
  </cols>
  <sheetData>
    <row r="1" spans="1:10" s="3" customFormat="1" ht="21.6" thickBot="1" x14ac:dyDescent="0.45">
      <c r="A1" s="664" t="s">
        <v>450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Proy'!B30</f>
        <v>0</v>
      </c>
      <c r="D3" s="17"/>
      <c r="H3" s="94"/>
    </row>
    <row r="4" spans="1:10" s="188" customFormat="1" ht="13.8" x14ac:dyDescent="0.3">
      <c r="A4" s="205"/>
      <c r="B4" s="206"/>
      <c r="D4" s="235"/>
      <c r="H4" s="206"/>
    </row>
    <row r="5" spans="1:10" s="3" customFormat="1" ht="13.8" x14ac:dyDescent="0.3">
      <c r="A5" s="7"/>
      <c r="B5" s="8" t="s">
        <v>238</v>
      </c>
      <c r="C5" s="7" t="s">
        <v>239</v>
      </c>
      <c r="D5" s="4" t="s">
        <v>240</v>
      </c>
      <c r="E5" s="9" t="s">
        <v>183</v>
      </c>
      <c r="G5" s="9" t="s">
        <v>199</v>
      </c>
    </row>
    <row r="6" spans="1:10" s="3" customFormat="1" ht="13.8" x14ac:dyDescent="0.3">
      <c r="A6" s="7"/>
      <c r="B6" s="8"/>
      <c r="C6" s="7"/>
      <c r="D6" s="4" t="s">
        <v>245</v>
      </c>
      <c r="E6" s="9"/>
      <c r="J6" s="3" t="s">
        <v>244</v>
      </c>
    </row>
    <row r="7" spans="1:10" s="3" customFormat="1" ht="13.8" x14ac:dyDescent="0.3">
      <c r="A7" s="238" t="s">
        <v>204</v>
      </c>
      <c r="B7" s="11"/>
      <c r="C7" s="12"/>
      <c r="D7" s="13"/>
      <c r="E7" s="14"/>
      <c r="F7" s="15"/>
      <c r="J7" s="88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Cotizaciones!F8</f>
        <v>0</v>
      </c>
      <c r="E8" s="216">
        <f t="shared" ref="E8:E20" si="0">B8*D8</f>
        <v>0</v>
      </c>
      <c r="F8" s="94"/>
      <c r="J8" s="3" t="s">
        <v>363</v>
      </c>
    </row>
    <row r="9" spans="1:10" s="3" customFormat="1" ht="13.8" x14ac:dyDescent="0.3">
      <c r="A9" s="209" t="s">
        <v>250</v>
      </c>
      <c r="B9" s="169">
        <v>0</v>
      </c>
      <c r="C9" s="18" t="s">
        <v>247</v>
      </c>
      <c r="D9" s="117">
        <f>Cotizaciones!F18</f>
        <v>17</v>
      </c>
      <c r="E9" s="216">
        <f t="shared" si="0"/>
        <v>0</v>
      </c>
      <c r="F9" s="94"/>
    </row>
    <row r="10" spans="1:10" s="3" customFormat="1" ht="13.8" x14ac:dyDescent="0.3">
      <c r="A10" s="209" t="s">
        <v>251</v>
      </c>
      <c r="B10" s="169">
        <v>2</v>
      </c>
      <c r="C10" s="18" t="s">
        <v>247</v>
      </c>
      <c r="D10" s="117">
        <f>Cotizaciones!F17</f>
        <v>5</v>
      </c>
      <c r="E10" s="117">
        <f t="shared" si="0"/>
        <v>10</v>
      </c>
      <c r="F10" s="94"/>
      <c r="G10" s="93">
        <v>41062</v>
      </c>
      <c r="H10" s="93">
        <v>41154</v>
      </c>
      <c r="J10" s="3" t="s">
        <v>429</v>
      </c>
    </row>
    <row r="11" spans="1:10" s="3" customFormat="1" ht="13.8" x14ac:dyDescent="0.3">
      <c r="A11" s="209" t="s">
        <v>345</v>
      </c>
      <c r="B11" s="169">
        <v>1</v>
      </c>
      <c r="C11" s="18" t="s">
        <v>247</v>
      </c>
      <c r="D11" s="117">
        <f>Cotizaciones!F22</f>
        <v>42</v>
      </c>
      <c r="E11" s="117">
        <f t="shared" si="0"/>
        <v>42</v>
      </c>
      <c r="F11" s="94"/>
      <c r="G11" s="93">
        <v>41184</v>
      </c>
      <c r="J11" s="3" t="s">
        <v>261</v>
      </c>
    </row>
    <row r="12" spans="1:10" s="3" customFormat="1" ht="13.8" x14ac:dyDescent="0.3">
      <c r="A12" s="209" t="s">
        <v>385</v>
      </c>
      <c r="B12" s="169">
        <v>1</v>
      </c>
      <c r="C12" s="18" t="s">
        <v>247</v>
      </c>
      <c r="D12" s="117">
        <f>Cotizaciones!F17</f>
        <v>5</v>
      </c>
      <c r="E12" s="117">
        <f t="shared" si="0"/>
        <v>5</v>
      </c>
      <c r="F12" s="94"/>
      <c r="G12" s="93">
        <v>41215</v>
      </c>
      <c r="J12" s="3" t="s">
        <v>261</v>
      </c>
    </row>
    <row r="13" spans="1:10" s="3" customFormat="1" ht="13.8" x14ac:dyDescent="0.3">
      <c r="A13" s="209" t="s">
        <v>257</v>
      </c>
      <c r="B13" s="169">
        <v>0.5</v>
      </c>
      <c r="C13" s="18" t="s">
        <v>247</v>
      </c>
      <c r="D13" s="117">
        <f>Cotizaciones!F17</f>
        <v>5</v>
      </c>
      <c r="E13" s="117">
        <f t="shared" si="0"/>
        <v>2.5</v>
      </c>
      <c r="F13" s="94"/>
      <c r="J13" s="3" t="s">
        <v>261</v>
      </c>
    </row>
    <row r="14" spans="1:10" s="3" customFormat="1" ht="13.8" x14ac:dyDescent="0.3">
      <c r="A14" s="209" t="s">
        <v>386</v>
      </c>
      <c r="B14" s="169">
        <v>0</v>
      </c>
      <c r="C14" s="18" t="s">
        <v>247</v>
      </c>
      <c r="D14" s="117">
        <f>Cotizaciones!F10</f>
        <v>0</v>
      </c>
      <c r="E14" s="117">
        <f t="shared" si="0"/>
        <v>0</v>
      </c>
      <c r="F14" s="94"/>
      <c r="J14" s="3" t="s">
        <v>276</v>
      </c>
    </row>
    <row r="15" spans="1:10" s="3" customFormat="1" ht="13.8" x14ac:dyDescent="0.3">
      <c r="A15" s="209" t="s">
        <v>387</v>
      </c>
      <c r="B15" s="169">
        <v>0</v>
      </c>
      <c r="C15" s="18" t="s">
        <v>247</v>
      </c>
      <c r="D15" s="117">
        <f>Cotizaciones!F17</f>
        <v>5</v>
      </c>
      <c r="E15" s="117">
        <f t="shared" si="0"/>
        <v>0</v>
      </c>
      <c r="F15" s="94"/>
      <c r="G15" s="93">
        <v>41214</v>
      </c>
    </row>
    <row r="16" spans="1:10" s="3" customFormat="1" ht="13.8" x14ac:dyDescent="0.3">
      <c r="A16" s="209" t="s">
        <v>388</v>
      </c>
      <c r="B16" s="169">
        <v>1</v>
      </c>
      <c r="C16" s="18" t="s">
        <v>247</v>
      </c>
      <c r="D16" s="117">
        <f>Cotizaciones!F16</f>
        <v>13</v>
      </c>
      <c r="E16" s="117">
        <f t="shared" si="0"/>
        <v>13</v>
      </c>
      <c r="F16" s="94"/>
      <c r="J16" s="3" t="s">
        <v>268</v>
      </c>
    </row>
    <row r="17" spans="1:10" s="3" customFormat="1" ht="13.8" x14ac:dyDescent="0.3">
      <c r="A17" s="209" t="s">
        <v>262</v>
      </c>
      <c r="B17" s="169">
        <v>0</v>
      </c>
      <c r="C17" s="18" t="s">
        <v>247</v>
      </c>
      <c r="D17" s="117">
        <f>Cotizaciones!F15</f>
        <v>1</v>
      </c>
      <c r="E17" s="117">
        <f t="shared" si="0"/>
        <v>0</v>
      </c>
      <c r="F17" s="94"/>
      <c r="G17" s="93">
        <v>41245</v>
      </c>
      <c r="J17" s="3" t="s">
        <v>261</v>
      </c>
    </row>
    <row r="18" spans="1:10" s="3" customFormat="1" ht="13.8" x14ac:dyDescent="0.3">
      <c r="A18" s="209" t="s">
        <v>263</v>
      </c>
      <c r="B18" s="169">
        <v>0</v>
      </c>
      <c r="C18" s="18" t="s">
        <v>247</v>
      </c>
      <c r="D18" s="117">
        <f>Cotizaciones!F5</f>
        <v>0</v>
      </c>
      <c r="E18" s="117">
        <f t="shared" si="0"/>
        <v>0</v>
      </c>
      <c r="F18" s="94"/>
      <c r="J18" s="3" t="s">
        <v>261</v>
      </c>
    </row>
    <row r="19" spans="1:10" s="3" customFormat="1" ht="13.8" x14ac:dyDescent="0.3">
      <c r="A19" s="209" t="s">
        <v>451</v>
      </c>
      <c r="B19" s="169">
        <v>1</v>
      </c>
      <c r="C19" s="18" t="s">
        <v>247</v>
      </c>
      <c r="D19" s="117">
        <f>Cotizaciones!F14</f>
        <v>5</v>
      </c>
      <c r="E19" s="117">
        <f t="shared" si="0"/>
        <v>5</v>
      </c>
      <c r="F19" s="94"/>
      <c r="J19" s="3" t="s">
        <v>408</v>
      </c>
    </row>
    <row r="20" spans="1:10" s="3" customFormat="1" ht="13.8" x14ac:dyDescent="0.3">
      <c r="A20" s="209" t="s">
        <v>436</v>
      </c>
      <c r="B20" s="169">
        <v>0.5</v>
      </c>
      <c r="C20" s="18" t="s">
        <v>437</v>
      </c>
      <c r="D20" s="117">
        <f>Cotizaciones!F6</f>
        <v>5</v>
      </c>
      <c r="E20" s="117">
        <f t="shared" si="0"/>
        <v>2.5</v>
      </c>
      <c r="F20" s="94"/>
      <c r="J20" s="3" t="s">
        <v>408</v>
      </c>
    </row>
    <row r="21" spans="1:10" s="3" customFormat="1" ht="15" customHeight="1" x14ac:dyDescent="0.3">
      <c r="A21" s="210"/>
      <c r="B21" s="20"/>
      <c r="C21" s="667" t="s">
        <v>265</v>
      </c>
      <c r="D21" s="667"/>
      <c r="E21" s="141">
        <f>SUM(E8:E20)</f>
        <v>80</v>
      </c>
      <c r="F21" s="159">
        <f>E21/E70</f>
        <v>0.10810586418098134</v>
      </c>
      <c r="G21" s="93">
        <v>41183</v>
      </c>
    </row>
    <row r="22" spans="1:10" s="3" customFormat="1" ht="13.8" x14ac:dyDescent="0.3">
      <c r="A22" s="238" t="s">
        <v>205</v>
      </c>
      <c r="B22" s="23"/>
      <c r="C22" s="12"/>
      <c r="D22" s="24"/>
      <c r="E22" s="25"/>
      <c r="F22" s="15"/>
    </row>
    <row r="23" spans="1:10" s="3" customFormat="1" ht="13.8" x14ac:dyDescent="0.3">
      <c r="A23" s="212" t="s">
        <v>452</v>
      </c>
      <c r="B23" s="171">
        <v>0.28000000000000003</v>
      </c>
      <c r="C23" s="18" t="s">
        <v>390</v>
      </c>
      <c r="D23" s="117">
        <f>Cotizaciones!E43</f>
        <v>330</v>
      </c>
      <c r="E23" s="217">
        <f>B23*D23</f>
        <v>92.4</v>
      </c>
      <c r="J23" s="3" t="s">
        <v>408</v>
      </c>
    </row>
    <row r="24" spans="1:10" s="3" customFormat="1" ht="13.8" x14ac:dyDescent="0.3">
      <c r="A24" s="212"/>
      <c r="B24" s="30"/>
      <c r="C24" s="667" t="s">
        <v>270</v>
      </c>
      <c r="D24" s="667"/>
      <c r="E24" s="141">
        <f>SUM(E23:E23)</f>
        <v>92.4</v>
      </c>
      <c r="F24" s="159">
        <f>E24/E70</f>
        <v>0.12486227312903346</v>
      </c>
      <c r="G24" s="21" t="e">
        <f>E24*#REF!</f>
        <v>#REF!</v>
      </c>
    </row>
    <row r="25" spans="1:10" s="3" customFormat="1" ht="13.8" x14ac:dyDescent="0.3">
      <c r="A25" s="212"/>
      <c r="B25" s="27"/>
      <c r="C25" s="18"/>
      <c r="D25" s="28"/>
      <c r="E25" s="29"/>
    </row>
    <row r="26" spans="1:10" s="3" customFormat="1" ht="13.8" x14ac:dyDescent="0.3">
      <c r="A26" s="238" t="s">
        <v>206</v>
      </c>
      <c r="B26" s="11">
        <v>1</v>
      </c>
      <c r="C26" s="12" t="s">
        <v>247</v>
      </c>
      <c r="D26" s="86">
        <f>'Resumen Proy'!D29</f>
        <v>280</v>
      </c>
      <c r="E26" s="173">
        <f>D26</f>
        <v>280</v>
      </c>
      <c r="F26" s="15"/>
    </row>
    <row r="27" spans="1:10" s="3" customFormat="1" ht="13.8" x14ac:dyDescent="0.3">
      <c r="A27" s="212"/>
      <c r="B27" s="27"/>
      <c r="C27" s="667" t="s">
        <v>271</v>
      </c>
      <c r="D27" s="667"/>
      <c r="E27" s="176">
        <f>E26</f>
        <v>280</v>
      </c>
      <c r="F27" s="236">
        <f>E27/E70</f>
        <v>0.37837052463343468</v>
      </c>
      <c r="G27" s="21" t="e">
        <f>E27*#REF!</f>
        <v>#REF!</v>
      </c>
    </row>
    <row r="28" spans="1:10" s="3" customFormat="1" ht="13.8" x14ac:dyDescent="0.3">
      <c r="A28" s="212"/>
      <c r="B28" s="27"/>
      <c r="C28" s="18"/>
      <c r="D28" s="28"/>
      <c r="E28" s="29"/>
    </row>
    <row r="29" spans="1:10" s="3" customFormat="1" ht="13.8" x14ac:dyDescent="0.3">
      <c r="A29" s="238" t="s">
        <v>207</v>
      </c>
      <c r="B29" s="281">
        <v>20</v>
      </c>
      <c r="C29" s="12" t="s">
        <v>272</v>
      </c>
      <c r="D29" s="173">
        <f>B29</f>
        <v>20</v>
      </c>
      <c r="E29" s="174">
        <f>D29</f>
        <v>20</v>
      </c>
      <c r="F29" s="15"/>
    </row>
    <row r="30" spans="1:10" s="3" customFormat="1" ht="13.8" x14ac:dyDescent="0.3">
      <c r="A30" s="212"/>
      <c r="B30" s="27"/>
      <c r="C30" s="667" t="s">
        <v>273</v>
      </c>
      <c r="D30" s="667"/>
      <c r="E30" s="141">
        <f>E29</f>
        <v>20</v>
      </c>
      <c r="F30" s="236">
        <f>E30/E70</f>
        <v>2.7026466045245334E-2</v>
      </c>
      <c r="G30" s="21" t="e">
        <f>E30*#REF!</f>
        <v>#REF!</v>
      </c>
    </row>
    <row r="31" spans="1:10" s="3" customFormat="1" ht="13.8" x14ac:dyDescent="0.3">
      <c r="A31" s="212"/>
      <c r="B31" s="27"/>
      <c r="C31" s="7"/>
      <c r="D31" s="7"/>
      <c r="E31" s="33"/>
    </row>
    <row r="32" spans="1:10" s="3" customFormat="1" ht="13.8" x14ac:dyDescent="0.3">
      <c r="A32" s="238" t="s">
        <v>140</v>
      </c>
      <c r="B32" s="23"/>
      <c r="C32" s="12"/>
      <c r="D32" s="24"/>
      <c r="E32" s="25"/>
      <c r="F32" s="15"/>
    </row>
    <row r="33" spans="1:10" s="3" customFormat="1" ht="13.8" x14ac:dyDescent="0.3">
      <c r="A33" s="212" t="s">
        <v>351</v>
      </c>
      <c r="B33" s="170">
        <v>0.04</v>
      </c>
      <c r="C33" s="18" t="s">
        <v>275</v>
      </c>
      <c r="D33" s="19">
        <f>Cotizaciones!I25+Cotizaciones!F26</f>
        <v>1025</v>
      </c>
      <c r="E33" s="34">
        <f>B33*D33</f>
        <v>41</v>
      </c>
      <c r="G33" s="3" t="str">
        <f>+A10</f>
        <v>Barbecho Quimico</v>
      </c>
      <c r="J33" s="3" t="s">
        <v>261</v>
      </c>
    </row>
    <row r="34" spans="1:10" s="3" customFormat="1" ht="13.8" x14ac:dyDescent="0.3">
      <c r="A34" s="212" t="s">
        <v>441</v>
      </c>
      <c r="B34" s="170">
        <v>0</v>
      </c>
      <c r="C34" s="18" t="s">
        <v>275</v>
      </c>
      <c r="D34" s="19">
        <f>Cotizaciones!I34+Cotizaciones!F26</f>
        <v>645</v>
      </c>
      <c r="E34" s="34">
        <f>B34*D34</f>
        <v>0</v>
      </c>
      <c r="G34" s="3" t="str">
        <f>+A14</f>
        <v>Fertilización</v>
      </c>
      <c r="J34" s="3" t="s">
        <v>261</v>
      </c>
    </row>
    <row r="35" spans="1:10" s="3" customFormat="1" ht="13.8" x14ac:dyDescent="0.3">
      <c r="A35" s="212"/>
      <c r="B35" s="30"/>
      <c r="C35" s="667" t="s">
        <v>280</v>
      </c>
      <c r="D35" s="667"/>
      <c r="E35" s="176">
        <f>SUM(E33:E34)</f>
        <v>41</v>
      </c>
      <c r="F35" s="159">
        <f>E35/E70</f>
        <v>5.5404255392752941E-2</v>
      </c>
      <c r="G35" s="21" t="e">
        <f>E35*#REF!</f>
        <v>#REF!</v>
      </c>
    </row>
    <row r="36" spans="1:10" s="3" customFormat="1" ht="13.8" x14ac:dyDescent="0.3">
      <c r="A36" s="238" t="s">
        <v>118</v>
      </c>
      <c r="B36" s="66"/>
      <c r="C36" s="67"/>
      <c r="D36" s="67"/>
      <c r="E36" s="68"/>
      <c r="F36" s="15"/>
    </row>
    <row r="37" spans="1:10" s="3" customFormat="1" ht="13.8" x14ac:dyDescent="0.3">
      <c r="A37" s="212"/>
      <c r="B37" s="27"/>
      <c r="C37" s="18"/>
      <c r="D37" s="28"/>
      <c r="E37" s="29"/>
    </row>
    <row r="38" spans="1:10" s="3" customFormat="1" ht="13.8" x14ac:dyDescent="0.3">
      <c r="A38" s="212" t="s">
        <v>442</v>
      </c>
      <c r="B38" s="171">
        <v>0.3</v>
      </c>
      <c r="C38" s="18" t="s">
        <v>283</v>
      </c>
      <c r="D38" s="117">
        <f>Cotizaciones!I21</f>
        <v>12</v>
      </c>
      <c r="E38" s="117">
        <f>B38*D38</f>
        <v>3.5999999999999996</v>
      </c>
      <c r="G38" s="3" t="str">
        <f>+A10</f>
        <v>Barbecho Quimico</v>
      </c>
      <c r="H38" s="3" t="s">
        <v>453</v>
      </c>
      <c r="J38" s="3" t="s">
        <v>253</v>
      </c>
    </row>
    <row r="39" spans="1:10" s="3" customFormat="1" ht="13.8" x14ac:dyDescent="0.3">
      <c r="A39" s="212" t="s">
        <v>68</v>
      </c>
      <c r="B39" s="171">
        <v>7</v>
      </c>
      <c r="C39" s="18" t="s">
        <v>283</v>
      </c>
      <c r="D39" s="117">
        <f>Cotizaciones!I28</f>
        <v>4.5</v>
      </c>
      <c r="E39" s="117">
        <f>B39*D39</f>
        <v>31.5</v>
      </c>
      <c r="G39" s="3" t="str">
        <f>+G38</f>
        <v>Barbecho Quimico</v>
      </c>
      <c r="H39" s="3" t="s">
        <v>453</v>
      </c>
      <c r="J39" s="3" t="s">
        <v>253</v>
      </c>
    </row>
    <row r="40" spans="1:10" s="3" customFormat="1" ht="13.8" x14ac:dyDescent="0.3">
      <c r="A40" s="212" t="s">
        <v>7</v>
      </c>
      <c r="B40" s="171">
        <v>0.5</v>
      </c>
      <c r="C40" s="18" t="s">
        <v>283</v>
      </c>
      <c r="D40" s="117">
        <f>Cotizaciones!I5</f>
        <v>4.5999999999999996</v>
      </c>
      <c r="E40" s="117">
        <f>B40*D40</f>
        <v>2.2999999999999998</v>
      </c>
      <c r="G40" s="3" t="s">
        <v>454</v>
      </c>
      <c r="J40" s="3" t="s">
        <v>253</v>
      </c>
    </row>
    <row r="41" spans="1:10" s="3" customFormat="1" ht="13.8" x14ac:dyDescent="0.3">
      <c r="A41" s="212" t="s">
        <v>141</v>
      </c>
      <c r="B41" s="171">
        <f>0.5*B13</f>
        <v>0.25</v>
      </c>
      <c r="C41" s="18" t="s">
        <v>283</v>
      </c>
      <c r="D41" s="117">
        <f>Cotizaciones!I27</f>
        <v>6</v>
      </c>
      <c r="E41" s="117">
        <f>B41*D41</f>
        <v>1.5</v>
      </c>
      <c r="G41" s="3" t="s">
        <v>455</v>
      </c>
      <c r="J41" s="3" t="s">
        <v>261</v>
      </c>
    </row>
    <row r="42" spans="1:10" s="3" customFormat="1" ht="13.8" x14ac:dyDescent="0.3">
      <c r="A42" s="212" t="s">
        <v>456</v>
      </c>
      <c r="B42" s="171">
        <v>0</v>
      </c>
      <c r="C42" s="18" t="s">
        <v>283</v>
      </c>
      <c r="D42" s="117">
        <f>Cotizaciones!I45</f>
        <v>2.6</v>
      </c>
      <c r="E42" s="146">
        <f>D42*B42</f>
        <v>0</v>
      </c>
    </row>
    <row r="43" spans="1:10" s="3" customFormat="1" ht="13.8" x14ac:dyDescent="0.3">
      <c r="A43" s="212" t="s">
        <v>14</v>
      </c>
      <c r="B43" s="171">
        <v>1.3</v>
      </c>
      <c r="C43" s="18" t="s">
        <v>283</v>
      </c>
      <c r="D43" s="117">
        <f>Cotizaciones!I7</f>
        <v>7.2</v>
      </c>
      <c r="E43" s="146">
        <f>D43*B43</f>
        <v>9.3600000000000012</v>
      </c>
      <c r="G43" s="3" t="s">
        <v>453</v>
      </c>
      <c r="J43" s="3" t="s">
        <v>408</v>
      </c>
    </row>
    <row r="44" spans="1:10" s="3" customFormat="1" ht="13.8" x14ac:dyDescent="0.3">
      <c r="A44" s="212" t="s">
        <v>61</v>
      </c>
      <c r="B44" s="171">
        <v>1.3</v>
      </c>
      <c r="C44" s="18" t="s">
        <v>283</v>
      </c>
      <c r="D44" s="117">
        <f>Cotizaciones!I24</f>
        <v>11.8</v>
      </c>
      <c r="E44" s="117">
        <f>B44*D44</f>
        <v>15.340000000000002</v>
      </c>
      <c r="G44" s="3" t="s">
        <v>453</v>
      </c>
      <c r="J44" s="3" t="s">
        <v>408</v>
      </c>
    </row>
    <row r="45" spans="1:10" s="3" customFormat="1" ht="13.8" x14ac:dyDescent="0.3">
      <c r="A45" s="212" t="s">
        <v>130</v>
      </c>
      <c r="B45" s="171">
        <v>2.4E-2</v>
      </c>
      <c r="C45" s="18" t="s">
        <v>283</v>
      </c>
      <c r="D45" s="117">
        <f>Cotizaciones!I31</f>
        <v>20</v>
      </c>
      <c r="E45" s="117">
        <f>B45*D45</f>
        <v>0.48</v>
      </c>
      <c r="G45" s="3" t="s">
        <v>453</v>
      </c>
      <c r="J45" s="3" t="s">
        <v>408</v>
      </c>
    </row>
    <row r="46" spans="1:10" s="3" customFormat="1" ht="13.8" x14ac:dyDescent="0.3">
      <c r="A46" s="212" t="s">
        <v>51</v>
      </c>
      <c r="B46" s="171">
        <v>0.8</v>
      </c>
      <c r="C46" s="18" t="s">
        <v>283</v>
      </c>
      <c r="D46" s="117">
        <f>Cotizaciones!I19</f>
        <v>7</v>
      </c>
      <c r="E46" s="117">
        <f>B46*D46</f>
        <v>5.6000000000000005</v>
      </c>
      <c r="G46" s="3" t="s">
        <v>457</v>
      </c>
      <c r="J46" s="3" t="s">
        <v>268</v>
      </c>
    </row>
    <row r="47" spans="1:10" s="3" customFormat="1" ht="13.8" x14ac:dyDescent="0.3">
      <c r="A47" s="212" t="s">
        <v>136</v>
      </c>
      <c r="B47" s="171">
        <v>3</v>
      </c>
      <c r="C47" s="18" t="s">
        <v>421</v>
      </c>
      <c r="D47" s="117">
        <f>Cotizaciones!I14</f>
        <v>7</v>
      </c>
      <c r="E47" s="117">
        <f>+B47*D47</f>
        <v>21</v>
      </c>
      <c r="G47" s="3" t="s">
        <v>458</v>
      </c>
      <c r="J47" s="3" t="s">
        <v>261</v>
      </c>
    </row>
    <row r="48" spans="1:10" s="3" customFormat="1" ht="13.8" x14ac:dyDescent="0.3">
      <c r="A48" s="212"/>
      <c r="B48" s="30"/>
      <c r="C48" s="667" t="s">
        <v>288</v>
      </c>
      <c r="D48" s="667"/>
      <c r="E48" s="176">
        <f>SUM(E38:E47)</f>
        <v>90.679999999999993</v>
      </c>
      <c r="F48" s="159">
        <f>E48/E70</f>
        <v>0.12253799704914234</v>
      </c>
      <c r="G48" s="21" t="e">
        <f>E48*#REF!</f>
        <v>#REF!</v>
      </c>
    </row>
    <row r="50" spans="1:6" s="3" customFormat="1" ht="13.8" x14ac:dyDescent="0.3">
      <c r="A50" s="238" t="s">
        <v>289</v>
      </c>
      <c r="B50" s="214">
        <v>1</v>
      </c>
      <c r="C50" s="12" t="s">
        <v>290</v>
      </c>
      <c r="D50" s="258">
        <v>50</v>
      </c>
      <c r="E50" s="173">
        <f>+D50*B50</f>
        <v>50</v>
      </c>
      <c r="F50" s="15"/>
    </row>
    <row r="51" spans="1:6" s="3" customFormat="1" ht="13.8" x14ac:dyDescent="0.3">
      <c r="A51" s="213"/>
      <c r="B51" s="36"/>
      <c r="C51" s="667" t="s">
        <v>291</v>
      </c>
      <c r="D51" s="667"/>
      <c r="E51" s="176">
        <f>E50</f>
        <v>50</v>
      </c>
      <c r="F51" s="236">
        <f>E51/E70</f>
        <v>6.7566165113113336E-2</v>
      </c>
    </row>
    <row r="52" spans="1:6" s="3" customFormat="1" ht="13.8" x14ac:dyDescent="0.3">
      <c r="A52" s="238" t="s">
        <v>300</v>
      </c>
      <c r="B52" s="69"/>
      <c r="C52" s="12"/>
      <c r="D52" s="24"/>
      <c r="E52" s="25"/>
      <c r="F52" s="15"/>
    </row>
    <row r="53" spans="1:6" s="3" customFormat="1" ht="13.8" x14ac:dyDescent="0.3">
      <c r="A53" s="213" t="s">
        <v>301</v>
      </c>
      <c r="B53" s="181">
        <v>0</v>
      </c>
      <c r="C53" s="18" t="s">
        <v>302</v>
      </c>
      <c r="D53" s="145">
        <f>Cotizaciones!F24</f>
        <v>3.3</v>
      </c>
      <c r="E53" s="146">
        <f>D53*B53*B73</f>
        <v>0</v>
      </c>
    </row>
    <row r="54" spans="1:6" s="3" customFormat="1" ht="13.8" x14ac:dyDescent="0.3">
      <c r="A54" s="213" t="s">
        <v>303</v>
      </c>
      <c r="B54" s="181">
        <v>0</v>
      </c>
      <c r="C54" s="18" t="s">
        <v>355</v>
      </c>
      <c r="D54" s="145">
        <f>Cotizaciones!I41/210</f>
        <v>1.9523809523809523</v>
      </c>
      <c r="E54" s="146">
        <f>D54*B54*B73</f>
        <v>0</v>
      </c>
    </row>
    <row r="55" spans="1:6" s="3" customFormat="1" ht="13.8" x14ac:dyDescent="0.3">
      <c r="A55" s="213" t="s">
        <v>305</v>
      </c>
      <c r="B55" s="181">
        <v>0</v>
      </c>
      <c r="C55" s="18" t="s">
        <v>371</v>
      </c>
      <c r="D55" s="117">
        <f>Cotizaciones!F31</f>
        <v>3</v>
      </c>
      <c r="E55" s="117">
        <f>+D55*B55*$B$74</f>
        <v>0</v>
      </c>
      <c r="F55" s="94"/>
    </row>
    <row r="56" spans="1:6" s="3" customFormat="1" ht="13.8" x14ac:dyDescent="0.3">
      <c r="A56" s="213" t="s">
        <v>306</v>
      </c>
      <c r="B56" s="181">
        <v>1</v>
      </c>
      <c r="C56" s="18" t="s">
        <v>371</v>
      </c>
      <c r="D56" s="117">
        <f>Cotizaciones!F35</f>
        <v>5</v>
      </c>
      <c r="E56" s="117">
        <f>+D56*B56*$B$74</f>
        <v>10</v>
      </c>
      <c r="F56" s="94"/>
    </row>
    <row r="57" spans="1:6" s="3" customFormat="1" ht="13.8" x14ac:dyDescent="0.3">
      <c r="A57" s="213" t="s">
        <v>83</v>
      </c>
      <c r="B57" s="181">
        <v>1</v>
      </c>
      <c r="C57" s="18" t="s">
        <v>371</v>
      </c>
      <c r="D57" s="117">
        <f>Cotizaciones!F36</f>
        <v>6.5</v>
      </c>
      <c r="E57" s="117">
        <f>+D57*B57*$B$74</f>
        <v>13</v>
      </c>
      <c r="F57" s="94"/>
    </row>
    <row r="58" spans="1:6" s="3" customFormat="1" ht="13.8" x14ac:dyDescent="0.3">
      <c r="A58" s="213" t="s">
        <v>307</v>
      </c>
      <c r="B58" s="181">
        <v>1</v>
      </c>
      <c r="C58" s="18" t="s">
        <v>371</v>
      </c>
      <c r="D58" s="117">
        <f>Cotizaciones!F5</f>
        <v>0</v>
      </c>
      <c r="E58" s="117">
        <f>+D58*B58*$B$74</f>
        <v>0</v>
      </c>
      <c r="F58" s="94"/>
    </row>
    <row r="59" spans="1:6" s="3" customFormat="1" ht="13.8" x14ac:dyDescent="0.3">
      <c r="A59" s="213" t="s">
        <v>308</v>
      </c>
      <c r="B59" s="181">
        <v>1</v>
      </c>
      <c r="C59" s="18" t="s">
        <v>371</v>
      </c>
      <c r="D59" s="161">
        <f>Cotizaciones!F25</f>
        <v>20</v>
      </c>
      <c r="E59" s="117">
        <f>+D59*B59*$B$74</f>
        <v>40</v>
      </c>
      <c r="F59" s="94"/>
    </row>
    <row r="60" spans="1:6" s="3" customFormat="1" ht="13.8" x14ac:dyDescent="0.3">
      <c r="A60" s="213" t="s">
        <v>309</v>
      </c>
      <c r="B60" s="181">
        <v>0</v>
      </c>
      <c r="C60" s="18" t="s">
        <v>295</v>
      </c>
      <c r="D60" s="237">
        <f>B60%*B81</f>
        <v>0</v>
      </c>
      <c r="E60" s="117">
        <v>0</v>
      </c>
      <c r="F60" s="94"/>
    </row>
    <row r="61" spans="1:6" s="3" customFormat="1" ht="13.8" x14ac:dyDescent="0.3">
      <c r="A61" s="213"/>
      <c r="B61" s="37"/>
      <c r="C61" s="667" t="s">
        <v>310</v>
      </c>
      <c r="D61" s="667"/>
      <c r="E61" s="176">
        <f>SUM(E55:E60)</f>
        <v>63</v>
      </c>
      <c r="F61" s="159">
        <f>E61/E70</f>
        <v>8.5133368042522806E-2</v>
      </c>
    </row>
    <row r="62" spans="1:6" s="3" customFormat="1" ht="13.8" x14ac:dyDescent="0.3">
      <c r="A62" s="213"/>
      <c r="B62" s="37"/>
      <c r="C62" s="7"/>
      <c r="D62" s="7"/>
      <c r="E62" s="38"/>
    </row>
    <row r="63" spans="1:6" s="3" customFormat="1" ht="13.8" x14ac:dyDescent="0.3">
      <c r="A63" s="213"/>
      <c r="B63" s="36"/>
      <c r="C63" s="18"/>
      <c r="D63" s="28"/>
      <c r="E63" s="29"/>
    </row>
    <row r="64" spans="1:6" s="3" customFormat="1" ht="13.8" x14ac:dyDescent="0.3">
      <c r="A64" s="238" t="s">
        <v>292</v>
      </c>
      <c r="B64" s="11">
        <v>4.2</v>
      </c>
      <c r="C64" s="12" t="s">
        <v>423</v>
      </c>
      <c r="D64" s="177">
        <f>B64%*B85</f>
        <v>22.935359999999999</v>
      </c>
      <c r="E64" s="178">
        <f>D64</f>
        <v>22.935359999999999</v>
      </c>
      <c r="F64" s="15"/>
    </row>
    <row r="65" spans="1:6" s="3" customFormat="1" ht="13.8" x14ac:dyDescent="0.3">
      <c r="A65" s="213"/>
      <c r="B65" s="36"/>
      <c r="C65" s="667" t="s">
        <v>447</v>
      </c>
      <c r="D65" s="667"/>
      <c r="E65" s="176">
        <f>E64</f>
        <v>22.935359999999999</v>
      </c>
      <c r="F65" s="236">
        <f>E65/E70</f>
        <v>3.0993086413773904E-2</v>
      </c>
    </row>
    <row r="66" spans="1:6" s="3" customFormat="1" ht="13.8" x14ac:dyDescent="0.3">
      <c r="A66" s="213"/>
      <c r="B66" s="36"/>
      <c r="C66" s="7"/>
      <c r="D66" s="7"/>
      <c r="E66" s="38"/>
    </row>
    <row r="67" spans="1:6" s="3" customFormat="1" ht="13.8" x14ac:dyDescent="0.3">
      <c r="A67" s="238" t="s">
        <v>294</v>
      </c>
      <c r="B67" s="70">
        <v>1.5</v>
      </c>
      <c r="C67" s="12" t="s">
        <v>295</v>
      </c>
      <c r="D67" s="71">
        <v>6</v>
      </c>
      <c r="E67" s="64">
        <v>0</v>
      </c>
      <c r="F67" s="15"/>
    </row>
    <row r="68" spans="1:6" s="3" customFormat="1" ht="13.8" x14ac:dyDescent="0.3">
      <c r="A68" s="212"/>
      <c r="B68" s="27"/>
      <c r="C68" s="667" t="s">
        <v>296</v>
      </c>
      <c r="D68" s="667"/>
      <c r="E68" s="176">
        <f>E67</f>
        <v>0</v>
      </c>
      <c r="F68" s="236">
        <f>E68/E70</f>
        <v>0</v>
      </c>
    </row>
    <row r="69" spans="1:6" s="3" customFormat="1" ht="13.8" x14ac:dyDescent="0.3">
      <c r="A69" s="212"/>
      <c r="B69" s="27"/>
      <c r="C69" s="7"/>
      <c r="D69" s="7"/>
      <c r="E69" s="38"/>
    </row>
    <row r="70" spans="1:6" s="3" customFormat="1" ht="13.8" x14ac:dyDescent="0.3">
      <c r="A70" s="224"/>
      <c r="B70" s="73"/>
      <c r="C70" s="673" t="s">
        <v>317</v>
      </c>
      <c r="D70" s="673"/>
      <c r="E70" s="220">
        <f>E21+E24+E27+E30+E35+E48+E51+E61+E65+E68</f>
        <v>740.01535999999987</v>
      </c>
      <c r="F70" s="228">
        <f>F68+F65+F61+F51+F48+F35+F30+F27+F24+F21</f>
        <v>1</v>
      </c>
    </row>
    <row r="71" spans="1:6" s="3" customFormat="1" ht="13.8" x14ac:dyDescent="0.3">
      <c r="A71" s="30"/>
      <c r="B71" s="30"/>
      <c r="C71" s="18"/>
      <c r="D71" s="28"/>
      <c r="E71" s="18"/>
    </row>
    <row r="72" spans="1:6" s="3" customFormat="1" thickBot="1" x14ac:dyDescent="0.35">
      <c r="D72" s="28"/>
      <c r="E72" s="18"/>
    </row>
    <row r="73" spans="1:6" s="3" customFormat="1" thickBot="1" x14ac:dyDescent="0.35">
      <c r="A73" s="670" t="s">
        <v>459</v>
      </c>
      <c r="B73" s="671"/>
      <c r="C73" s="672"/>
      <c r="D73" s="28"/>
      <c r="E73" s="39"/>
    </row>
    <row r="74" spans="1:6" s="3" customFormat="1" ht="13.8" x14ac:dyDescent="0.3">
      <c r="A74" s="240" t="s">
        <v>315</v>
      </c>
      <c r="B74" s="265">
        <v>2</v>
      </c>
      <c r="C74" s="194" t="s">
        <v>316</v>
      </c>
      <c r="D74" s="749"/>
      <c r="E74" s="749"/>
      <c r="F74" s="749"/>
    </row>
    <row r="75" spans="1:6" s="3" customFormat="1" ht="13.8" x14ac:dyDescent="0.3">
      <c r="A75" s="241" t="s">
        <v>341</v>
      </c>
      <c r="B75" s="195">
        <f>Cotizaciones!B12</f>
        <v>450</v>
      </c>
      <c r="C75" s="196" t="s">
        <v>275</v>
      </c>
      <c r="D75" s="749"/>
      <c r="E75" s="749"/>
      <c r="F75" s="749"/>
    </row>
    <row r="76" spans="1:6" s="3" customFormat="1" ht="13.8" x14ac:dyDescent="0.3">
      <c r="A76" s="40" t="s">
        <v>425</v>
      </c>
      <c r="B76" s="195">
        <f>B75*0.08</f>
        <v>36</v>
      </c>
      <c r="C76" s="196" t="s">
        <v>275</v>
      </c>
      <c r="D76" s="28"/>
      <c r="E76" s="18"/>
    </row>
    <row r="77" spans="1:6" s="3" customFormat="1" ht="13.8" x14ac:dyDescent="0.3">
      <c r="A77" s="40" t="s">
        <v>426</v>
      </c>
      <c r="B77" s="195">
        <v>0</v>
      </c>
      <c r="C77" s="196" t="s">
        <v>275</v>
      </c>
      <c r="D77" s="28"/>
      <c r="E77" s="18"/>
    </row>
    <row r="78" spans="1:6" s="3" customFormat="1" ht="13.8" x14ac:dyDescent="0.3">
      <c r="A78" s="40" t="s">
        <v>449</v>
      </c>
      <c r="B78" s="195">
        <v>40</v>
      </c>
      <c r="C78" s="196" t="s">
        <v>21</v>
      </c>
      <c r="D78" s="28"/>
      <c r="E78" s="18"/>
    </row>
    <row r="79" spans="1:6" s="3" customFormat="1" ht="13.8" x14ac:dyDescent="0.3">
      <c r="A79" s="40" t="s">
        <v>433</v>
      </c>
      <c r="B79" s="195">
        <f>SUM(B75:B78)</f>
        <v>526</v>
      </c>
      <c r="C79" s="196" t="s">
        <v>275</v>
      </c>
      <c r="D79" s="28"/>
      <c r="E79" s="18"/>
    </row>
    <row r="80" spans="1:6" s="3" customFormat="1" ht="13.8" x14ac:dyDescent="0.3">
      <c r="A80" s="242" t="s">
        <v>317</v>
      </c>
      <c r="B80" s="244">
        <f>E70</f>
        <v>740.01535999999987</v>
      </c>
      <c r="C80" s="197" t="s">
        <v>21</v>
      </c>
      <c r="D80" s="28"/>
      <c r="E80" s="30"/>
    </row>
    <row r="81" spans="1:8" s="3" customFormat="1" ht="13.8" x14ac:dyDescent="0.3">
      <c r="A81" s="241" t="s">
        <v>160</v>
      </c>
      <c r="B81" s="195">
        <f>+B79*B74</f>
        <v>1052</v>
      </c>
      <c r="C81" s="196" t="s">
        <v>318</v>
      </c>
      <c r="D81" s="28"/>
      <c r="E81" s="30"/>
    </row>
    <row r="82" spans="1:8" s="3" customFormat="1" ht="13.8" x14ac:dyDescent="0.3">
      <c r="A82" s="242" t="s">
        <v>321</v>
      </c>
      <c r="B82" s="244">
        <f>+B81-E70</f>
        <v>311.98464000000013</v>
      </c>
      <c r="C82" s="197" t="s">
        <v>318</v>
      </c>
      <c r="D82" s="28"/>
      <c r="E82" s="30"/>
    </row>
    <row r="83" spans="1:8" s="3" customFormat="1" ht="13.8" x14ac:dyDescent="0.3">
      <c r="A83" s="242" t="s">
        <v>325</v>
      </c>
      <c r="B83" s="245">
        <f>B82/B80</f>
        <v>0.42159211397990465</v>
      </c>
      <c r="C83" s="197"/>
      <c r="D83" s="28"/>
      <c r="E83" s="30"/>
    </row>
    <row r="84" spans="1:8" s="3" customFormat="1" ht="13.8" x14ac:dyDescent="0.3">
      <c r="A84" s="241" t="s">
        <v>326</v>
      </c>
      <c r="B84" s="246">
        <f>(E21+E24+E27+E35+E48+E65+E51+E68+E30)/(B79-B60%*B79-D53*B53-D54*B54-D57*B57-D58*B58-D59*B59-D55*B55-D56*B56)</f>
        <v>1.3690907178968652</v>
      </c>
      <c r="C84" s="197"/>
      <c r="D84" s="28"/>
      <c r="E84" s="30"/>
    </row>
    <row r="85" spans="1:8" s="3" customFormat="1" ht="13.8" x14ac:dyDescent="0.3">
      <c r="A85" s="242" t="s">
        <v>164</v>
      </c>
      <c r="B85" s="247">
        <f>E21+E24+E27*0.8+E30*0.9+E35+E48+E68</f>
        <v>546.07999999999993</v>
      </c>
      <c r="C85" s="197"/>
      <c r="D85" s="28"/>
      <c r="E85" s="30"/>
    </row>
    <row r="86" spans="1:8" s="3" customFormat="1" thickBot="1" x14ac:dyDescent="0.35">
      <c r="A86" s="243" t="s">
        <v>327</v>
      </c>
      <c r="B86" s="248">
        <f>B82/B85</f>
        <v>0.57131673014942896</v>
      </c>
      <c r="C86" s="199"/>
      <c r="D86" s="28"/>
      <c r="E86" s="30"/>
    </row>
    <row r="87" spans="1:8" s="3" customFormat="1" ht="13.8" x14ac:dyDescent="0.3">
      <c r="A87" s="18"/>
      <c r="B87" s="41"/>
      <c r="C87" s="41"/>
      <c r="D87" s="28"/>
      <c r="E87" s="30"/>
    </row>
    <row r="88" spans="1:8" s="3" customFormat="1" ht="13.8" x14ac:dyDescent="0.3">
      <c r="A88" s="668" t="s">
        <v>317</v>
      </c>
      <c r="B88" s="668"/>
      <c r="C88" s="42">
        <f>E70</f>
        <v>740.01535999999987</v>
      </c>
      <c r="D88" s="6"/>
    </row>
    <row r="89" spans="1:8" s="3" customFormat="1" ht="13.8" x14ac:dyDescent="0.3">
      <c r="A89" s="669" t="s">
        <v>359</v>
      </c>
      <c r="B89" s="669"/>
      <c r="C89" s="669"/>
      <c r="D89" s="669"/>
      <c r="E89" s="669"/>
      <c r="F89" s="669"/>
      <c r="G89" s="669"/>
      <c r="H89" s="669"/>
    </row>
    <row r="90" spans="1:8" s="3" customFormat="1" ht="13.8" x14ac:dyDescent="0.3">
      <c r="A90" s="43" t="s">
        <v>332</v>
      </c>
      <c r="B90" s="46">
        <f t="shared" ref="B90:G90" si="1">B99</f>
        <v>1.0999999999999999</v>
      </c>
      <c r="C90" s="46">
        <f t="shared" si="1"/>
        <v>1.4</v>
      </c>
      <c r="D90" s="46">
        <f t="shared" si="1"/>
        <v>1.7</v>
      </c>
      <c r="E90" s="46">
        <f t="shared" si="1"/>
        <v>2</v>
      </c>
      <c r="F90" s="46">
        <f t="shared" si="1"/>
        <v>2.2999999999999998</v>
      </c>
      <c r="G90" s="46">
        <f t="shared" si="1"/>
        <v>2.5999999999999996</v>
      </c>
      <c r="H90" s="46">
        <f>H99</f>
        <v>2.8999999999999995</v>
      </c>
    </row>
    <row r="91" spans="1:8" s="3" customFormat="1" ht="13.8" x14ac:dyDescent="0.3">
      <c r="A91" s="47">
        <f>A92-10</f>
        <v>710.01535999999987</v>
      </c>
      <c r="B91" s="48">
        <f>B100/C88*100</f>
        <v>-26.271800628570734</v>
      </c>
      <c r="C91" s="48">
        <f>C100/C88*100</f>
        <v>-6.1641098909081977</v>
      </c>
      <c r="D91" s="48">
        <f>D100/C88*100</f>
        <v>13.943580846754328</v>
      </c>
      <c r="E91" s="49">
        <f>E100/C88*100</f>
        <v>34.051271584416867</v>
      </c>
      <c r="F91" s="48">
        <f>F100/C88*100</f>
        <v>54.158962322079383</v>
      </c>
      <c r="G91" s="48">
        <f>G100/C88*100</f>
        <v>74.266653059741913</v>
      </c>
      <c r="H91" s="50">
        <f>H100/C88*100</f>
        <v>94.374343797404407</v>
      </c>
    </row>
    <row r="92" spans="1:8" s="3" customFormat="1" ht="13.8" x14ac:dyDescent="0.3">
      <c r="A92" s="47">
        <f>A93-10</f>
        <v>720.01535999999987</v>
      </c>
      <c r="B92" s="48">
        <f>B101/C88*100</f>
        <v>-24.785344996082241</v>
      </c>
      <c r="C92" s="48">
        <f>C101/C88*100</f>
        <v>-4.2722572677410238</v>
      </c>
      <c r="D92" s="48">
        <f>D101/C88*100</f>
        <v>16.240830460600179</v>
      </c>
      <c r="E92" s="49">
        <f>E101/C88*100</f>
        <v>36.753918188941398</v>
      </c>
      <c r="F92" s="48">
        <f>F101/C88*100</f>
        <v>57.267005917282596</v>
      </c>
      <c r="G92" s="48">
        <f>G101/C88*100</f>
        <v>77.780093645623808</v>
      </c>
      <c r="H92" s="50">
        <f>H101/C88*100</f>
        <v>98.293181373964984</v>
      </c>
    </row>
    <row r="93" spans="1:8" s="3" customFormat="1" ht="13.8" x14ac:dyDescent="0.3">
      <c r="A93" s="47">
        <f>A94-10</f>
        <v>730.01535999999987</v>
      </c>
      <c r="B93" s="48">
        <f>B102/C88*100</f>
        <v>-23.298889363593752</v>
      </c>
      <c r="C93" s="48">
        <f>C102/C88*100</f>
        <v>-2.3804046445738503</v>
      </c>
      <c r="D93" s="48">
        <f>D102/C88*100</f>
        <v>18.538080074446032</v>
      </c>
      <c r="E93" s="49">
        <f>E102/C88*100</f>
        <v>39.45656479346593</v>
      </c>
      <c r="F93" s="48">
        <f>F102/C88*100</f>
        <v>60.375049512485809</v>
      </c>
      <c r="G93" s="48">
        <f>G102/C88*100</f>
        <v>81.293534231505703</v>
      </c>
      <c r="H93" s="50">
        <f>H102/C88*100</f>
        <v>102.21201895052556</v>
      </c>
    </row>
    <row r="94" spans="1:8" s="3" customFormat="1" ht="13.8" x14ac:dyDescent="0.3">
      <c r="A94" s="51">
        <f>B80</f>
        <v>740.01535999999987</v>
      </c>
      <c r="B94" s="52">
        <f>B103/C88*100</f>
        <v>-21.812433731105255</v>
      </c>
      <c r="C94" s="53">
        <f>C103/C88*100</f>
        <v>-0.48855202140667686</v>
      </c>
      <c r="D94" s="53">
        <f>D103/C88*100</f>
        <v>20.835329688291885</v>
      </c>
      <c r="E94" s="54">
        <f>E103/C88*100</f>
        <v>42.159211397990468</v>
      </c>
      <c r="F94" s="53">
        <f>F103/C88*100</f>
        <v>63.483093107689029</v>
      </c>
      <c r="G94" s="53">
        <f>G103/C88*100</f>
        <v>84.806974817387598</v>
      </c>
      <c r="H94" s="55">
        <f>H103/C88*100</f>
        <v>106.13085652708614</v>
      </c>
    </row>
    <row r="95" spans="1:8" s="3" customFormat="1" ht="13.8" x14ac:dyDescent="0.3">
      <c r="A95" s="47">
        <f>A94+10</f>
        <v>750.01535999999987</v>
      </c>
      <c r="B95" s="56">
        <f>B104/C88*100</f>
        <v>-20.325978098616762</v>
      </c>
      <c r="C95" s="56">
        <f>C104/C88*100</f>
        <v>1.4033006017604968</v>
      </c>
      <c r="D95" s="56">
        <f>D104/C88*100</f>
        <v>23.132579302137739</v>
      </c>
      <c r="E95" s="57">
        <f>E104/C88*100</f>
        <v>44.861858002515</v>
      </c>
      <c r="F95" s="56">
        <f>F104/C88*100</f>
        <v>66.591136702892243</v>
      </c>
      <c r="G95" s="56">
        <f>G104/C88*100</f>
        <v>88.320415403269493</v>
      </c>
      <c r="H95" s="58">
        <f>H104/C88*100</f>
        <v>110.04969410364671</v>
      </c>
    </row>
    <row r="96" spans="1:8" s="3" customFormat="1" ht="13.8" x14ac:dyDescent="0.3">
      <c r="A96" s="47">
        <f>A95+10</f>
        <v>760.01535999999987</v>
      </c>
      <c r="B96" s="56">
        <f>B105/C88*100</f>
        <v>-18.839522466128269</v>
      </c>
      <c r="C96" s="56">
        <f>C105/C88*100</f>
        <v>3.2951532249276703</v>
      </c>
      <c r="D96" s="56">
        <f>D105/C88*100</f>
        <v>25.429828915983592</v>
      </c>
      <c r="E96" s="57">
        <f>E105/C88*100</f>
        <v>47.564504607039531</v>
      </c>
      <c r="F96" s="56">
        <f>F105/C88*100</f>
        <v>69.699180298095456</v>
      </c>
      <c r="G96" s="56">
        <f>G105/C88*100</f>
        <v>91.833855989151374</v>
      </c>
      <c r="H96" s="58">
        <f>H105/C88*100</f>
        <v>113.96853168020726</v>
      </c>
    </row>
    <row r="97" spans="1:8" s="3" customFormat="1" ht="13.8" x14ac:dyDescent="0.3">
      <c r="A97" s="47">
        <f>A96+10</f>
        <v>770.01535999999987</v>
      </c>
      <c r="B97" s="56">
        <f>B106/C88*100</f>
        <v>-17.353066833639772</v>
      </c>
      <c r="C97" s="56">
        <f>C106/C88*100</f>
        <v>5.1870058480948433</v>
      </c>
      <c r="D97" s="56">
        <f>D106/C88*100</f>
        <v>27.727078529829445</v>
      </c>
      <c r="E97" s="57">
        <f>E106/C88*100</f>
        <v>50.267151211564062</v>
      </c>
      <c r="F97" s="56">
        <f>F106/C88*100</f>
        <v>72.807223893298669</v>
      </c>
      <c r="G97" s="56">
        <f>G106/C88*100</f>
        <v>95.347296575033269</v>
      </c>
      <c r="H97" s="58">
        <f>H106/C88*100</f>
        <v>117.88736925676784</v>
      </c>
    </row>
    <row r="98" spans="1:8" s="3" customFormat="1" ht="13.8" x14ac:dyDescent="0.3">
      <c r="A98" s="669" t="s">
        <v>404</v>
      </c>
      <c r="B98" s="669"/>
      <c r="C98" s="669"/>
      <c r="D98" s="669"/>
      <c r="E98" s="669"/>
      <c r="F98" s="669"/>
      <c r="G98" s="669"/>
      <c r="H98" s="669"/>
    </row>
    <row r="99" spans="1:8" s="3" customFormat="1" ht="13.8" x14ac:dyDescent="0.3">
      <c r="A99" s="43" t="s">
        <v>332</v>
      </c>
      <c r="B99" s="44">
        <f>C99-0.3</f>
        <v>1.0999999999999999</v>
      </c>
      <c r="C99" s="44">
        <f>D99-0.3</f>
        <v>1.4</v>
      </c>
      <c r="D99" s="44">
        <f>E99-0.3</f>
        <v>1.7</v>
      </c>
      <c r="E99" s="45">
        <f>B74</f>
        <v>2</v>
      </c>
      <c r="F99" s="44">
        <f>E99+0.3</f>
        <v>2.2999999999999998</v>
      </c>
      <c r="G99" s="44">
        <f>F99+0.3</f>
        <v>2.5999999999999996</v>
      </c>
      <c r="H99" s="44">
        <f>G99+0.3</f>
        <v>2.8999999999999995</v>
      </c>
    </row>
    <row r="100" spans="1:8" s="3" customFormat="1" ht="13.8" x14ac:dyDescent="0.3">
      <c r="A100" s="47">
        <f>A101-10</f>
        <v>496</v>
      </c>
      <c r="B100" s="48">
        <f>(B99*A100)-C88</f>
        <v>-194.41535999999996</v>
      </c>
      <c r="C100" s="48">
        <f>(C99*A100)-C88</f>
        <v>-45.615359999999896</v>
      </c>
      <c r="D100" s="48">
        <f>(D99*A100)-C88</f>
        <v>103.18464000000006</v>
      </c>
      <c r="E100" s="49">
        <f>(E99*A100)-C88</f>
        <v>251.98464000000013</v>
      </c>
      <c r="F100" s="48">
        <f>(F99*A100)-C88</f>
        <v>400.78464000000008</v>
      </c>
      <c r="G100" s="48">
        <f>(G99*A100)-C88</f>
        <v>549.58464000000004</v>
      </c>
      <c r="H100" s="50">
        <f>(H99*A100)-C88</f>
        <v>698.38463999999976</v>
      </c>
    </row>
    <row r="101" spans="1:8" s="3" customFormat="1" ht="13.8" x14ac:dyDescent="0.3">
      <c r="A101" s="47">
        <f>A102-10</f>
        <v>506</v>
      </c>
      <c r="B101" s="48">
        <f>(B99*A101)-C88</f>
        <v>-183.41535999999996</v>
      </c>
      <c r="C101" s="48">
        <f>(C99*A101)-C88</f>
        <v>-31.615359999999896</v>
      </c>
      <c r="D101" s="48">
        <f>(D99*A101)-C88</f>
        <v>120.18464000000006</v>
      </c>
      <c r="E101" s="49">
        <f>(E99*A101)-C88</f>
        <v>271.98464000000013</v>
      </c>
      <c r="F101" s="48">
        <f>(F99*A101)-C88</f>
        <v>423.78464000000008</v>
      </c>
      <c r="G101" s="48">
        <f>(G99*A101)-C88</f>
        <v>575.58464000000004</v>
      </c>
      <c r="H101" s="50">
        <f>(H99*A101)-C88</f>
        <v>727.38463999999976</v>
      </c>
    </row>
    <row r="102" spans="1:8" s="3" customFormat="1" ht="13.8" x14ac:dyDescent="0.3">
      <c r="A102" s="47">
        <f>A103-10</f>
        <v>516</v>
      </c>
      <c r="B102" s="48">
        <f>(A102*B99)-C88</f>
        <v>-172.41535999999996</v>
      </c>
      <c r="C102" s="48">
        <f>(C99*A102)-C88</f>
        <v>-17.615359999999896</v>
      </c>
      <c r="D102" s="48">
        <f>(D99*A102)-C88</f>
        <v>137.18464000000006</v>
      </c>
      <c r="E102" s="49">
        <f>(E99*A102)-C88</f>
        <v>291.98464000000013</v>
      </c>
      <c r="F102" s="48">
        <f>(F99*A102)-C88</f>
        <v>446.78464000000008</v>
      </c>
      <c r="G102" s="48">
        <f>(G99*A102)-C88</f>
        <v>601.58464000000004</v>
      </c>
      <c r="H102" s="50">
        <f>(H99*A102)-C88</f>
        <v>756.38463999999976</v>
      </c>
    </row>
    <row r="103" spans="1:8" s="3" customFormat="1" ht="13.8" x14ac:dyDescent="0.3">
      <c r="A103" s="51">
        <f>B79</f>
        <v>526</v>
      </c>
      <c r="B103" s="53">
        <f>(A103*B99)-C88</f>
        <v>-161.41535999999996</v>
      </c>
      <c r="C103" s="53">
        <f>(A103*C99)-C88</f>
        <v>-3.615359999999896</v>
      </c>
      <c r="D103" s="53">
        <f>(D99*A103)-C88</f>
        <v>154.18464000000006</v>
      </c>
      <c r="E103" s="54">
        <f>(A103*E99)-C88</f>
        <v>311.98464000000013</v>
      </c>
      <c r="F103" s="53">
        <f>(A103*F99)-C88</f>
        <v>469.78464000000008</v>
      </c>
      <c r="G103" s="53">
        <f>(G99*A103)-C88</f>
        <v>627.58464000000004</v>
      </c>
      <c r="H103" s="55">
        <f>(H99*A103)-C88</f>
        <v>785.38463999999976</v>
      </c>
    </row>
    <row r="104" spans="1:8" s="3" customFormat="1" ht="13.8" x14ac:dyDescent="0.3">
      <c r="A104" s="47">
        <f>A103+10</f>
        <v>536</v>
      </c>
      <c r="B104" s="56">
        <f>(A104*B99)-C88</f>
        <v>-150.41535999999996</v>
      </c>
      <c r="C104" s="56">
        <f>(C99*A104)-C88</f>
        <v>10.384640000000104</v>
      </c>
      <c r="D104" s="56">
        <f>(D99*A104)-C88</f>
        <v>171.18464000000006</v>
      </c>
      <c r="E104" s="57">
        <f>(E99*A104)-C88</f>
        <v>331.98464000000013</v>
      </c>
      <c r="F104" s="56">
        <f>(F99*A104)-C88</f>
        <v>492.78464000000008</v>
      </c>
      <c r="G104" s="56">
        <f>(G99*A104)-C88</f>
        <v>653.58464000000004</v>
      </c>
      <c r="H104" s="58">
        <f>(H99*A104)-C88</f>
        <v>814.38463999999976</v>
      </c>
    </row>
    <row r="105" spans="1:8" s="3" customFormat="1" ht="13.8" x14ac:dyDescent="0.3">
      <c r="A105" s="47">
        <f>A104+10</f>
        <v>546</v>
      </c>
      <c r="B105" s="56">
        <f>(A105*B99)-C88</f>
        <v>-139.41535999999996</v>
      </c>
      <c r="C105" s="56">
        <f>(C99*A105)-C88</f>
        <v>24.384640000000104</v>
      </c>
      <c r="D105" s="56">
        <f>(D99*A105)-C88</f>
        <v>188.18464000000006</v>
      </c>
      <c r="E105" s="57">
        <f>(E99*A105)-C88</f>
        <v>351.98464000000013</v>
      </c>
      <c r="F105" s="56">
        <f>(F99*A105)-C88</f>
        <v>515.78464000000008</v>
      </c>
      <c r="G105" s="56">
        <f>(G99*A105)-C88</f>
        <v>679.58464000000004</v>
      </c>
      <c r="H105" s="58">
        <f>(H99*A105)-C88</f>
        <v>843.38463999999976</v>
      </c>
    </row>
    <row r="106" spans="1:8" s="3" customFormat="1" ht="13.8" x14ac:dyDescent="0.3">
      <c r="A106" s="59">
        <f>A105+10</f>
        <v>556</v>
      </c>
      <c r="B106" s="60">
        <f>(B99*A106)-C88</f>
        <v>-128.41535999999996</v>
      </c>
      <c r="C106" s="60">
        <f>(C99*A106)-C88</f>
        <v>38.384640000000104</v>
      </c>
      <c r="D106" s="60">
        <f>(D99*A106)-C88</f>
        <v>205.18464000000006</v>
      </c>
      <c r="E106" s="61">
        <f>(E99*A106)-C88</f>
        <v>371.98464000000013</v>
      </c>
      <c r="F106" s="60">
        <f>(F99*A106)-C88</f>
        <v>538.78464000000008</v>
      </c>
      <c r="G106" s="60">
        <f>(G99*A106)-C88</f>
        <v>705.58464000000004</v>
      </c>
      <c r="H106" s="62">
        <f>(A106*H99)-C88</f>
        <v>872.38463999999976</v>
      </c>
    </row>
  </sheetData>
  <mergeCells count="18">
    <mergeCell ref="C35:D35"/>
    <mergeCell ref="A1:H1"/>
    <mergeCell ref="C21:D21"/>
    <mergeCell ref="C24:D24"/>
    <mergeCell ref="C27:D27"/>
    <mergeCell ref="C30:D30"/>
    <mergeCell ref="A98:H98"/>
    <mergeCell ref="C48:D48"/>
    <mergeCell ref="C51:D51"/>
    <mergeCell ref="C61:D61"/>
    <mergeCell ref="C65:D65"/>
    <mergeCell ref="C68:D68"/>
    <mergeCell ref="C70:D70"/>
    <mergeCell ref="A73:C73"/>
    <mergeCell ref="D74:F74"/>
    <mergeCell ref="D75:F75"/>
    <mergeCell ref="A88:B88"/>
    <mergeCell ref="A89:H89"/>
  </mergeCells>
  <pageMargins left="0.78749999999999998" right="0.78749999999999998" top="1.0527777777777778" bottom="1.0527777777777778" header="0.78749999999999998" footer="0.78749999999999998"/>
  <pageSetup paperSize="9" scale="55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0"/>
  <sheetViews>
    <sheetView showGridLines="0" topLeftCell="A50" zoomScale="90" zoomScaleNormal="90" zoomScaleSheetLayoutView="75" workbookViewId="0">
      <selection activeCell="K109" sqref="K109"/>
    </sheetView>
  </sheetViews>
  <sheetFormatPr baseColWidth="10" defaultColWidth="10.6640625" defaultRowHeight="14.4" x14ac:dyDescent="0.3"/>
  <cols>
    <col min="1" max="1" width="34.88671875" style="1" customWidth="1"/>
    <col min="2" max="2" width="10.6640625" style="1" bestFit="1" customWidth="1"/>
    <col min="3" max="3" width="10.44140625" style="1" customWidth="1"/>
    <col min="4" max="4" width="9.6640625" style="2" customWidth="1"/>
    <col min="5" max="5" width="10.44140625" style="1" customWidth="1"/>
    <col min="6" max="6" width="8" style="1" customWidth="1"/>
    <col min="7" max="7" width="13.6640625" style="1" bestFit="1" customWidth="1"/>
    <col min="8" max="8" width="7.5546875" style="1" bestFit="1" customWidth="1"/>
    <col min="9" max="9" width="11.5546875" style="1" customWidth="1"/>
    <col min="10" max="16384" width="10.6640625" style="1"/>
  </cols>
  <sheetData>
    <row r="1" spans="1:10" s="3" customFormat="1" ht="21.6" thickBot="1" x14ac:dyDescent="0.45">
      <c r="A1" s="664" t="s">
        <v>474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Proy'!B31</f>
        <v>0</v>
      </c>
      <c r="D3" s="17"/>
      <c r="H3" s="94"/>
    </row>
    <row r="4" spans="1:10" s="3" customFormat="1" ht="13.8" x14ac:dyDescent="0.3">
      <c r="A4" s="26"/>
      <c r="B4" s="94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F5" s="128" t="s">
        <v>241</v>
      </c>
      <c r="G5" s="9" t="s">
        <v>242</v>
      </c>
      <c r="H5" s="128" t="s">
        <v>243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F6" s="94"/>
      <c r="G6" s="94"/>
      <c r="H6" s="94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Cotizaciones!F8</f>
        <v>0</v>
      </c>
      <c r="E8" s="216">
        <f t="shared" ref="E8:E17" si="0">B8*D8</f>
        <v>0</v>
      </c>
    </row>
    <row r="9" spans="1:10" s="3" customFormat="1" ht="13.8" x14ac:dyDescent="0.3">
      <c r="A9" s="209" t="s">
        <v>250</v>
      </c>
      <c r="B9" s="169">
        <v>0</v>
      </c>
      <c r="C9" s="18" t="s">
        <v>247</v>
      </c>
      <c r="D9" s="117">
        <v>24</v>
      </c>
      <c r="E9" s="216">
        <f t="shared" si="0"/>
        <v>0</v>
      </c>
      <c r="J9" s="3" t="s">
        <v>336</v>
      </c>
    </row>
    <row r="10" spans="1:10" s="3" customFormat="1" ht="13.8" x14ac:dyDescent="0.3">
      <c r="A10" s="209" t="s">
        <v>251</v>
      </c>
      <c r="B10" s="169">
        <v>0</v>
      </c>
      <c r="C10" s="18" t="s">
        <v>247</v>
      </c>
      <c r="D10" s="117">
        <v>6.5</v>
      </c>
      <c r="E10" s="117">
        <f t="shared" si="0"/>
        <v>0</v>
      </c>
      <c r="H10" s="93">
        <v>41061</v>
      </c>
      <c r="I10" s="93">
        <v>41153</v>
      </c>
      <c r="J10" s="3" t="s">
        <v>256</v>
      </c>
    </row>
    <row r="11" spans="1:10" s="3" customFormat="1" ht="13.8" x14ac:dyDescent="0.3">
      <c r="A11" s="209" t="s">
        <v>251</v>
      </c>
      <c r="B11" s="169">
        <v>0</v>
      </c>
      <c r="C11" s="18" t="s">
        <v>437</v>
      </c>
      <c r="D11" s="117">
        <v>6.5</v>
      </c>
      <c r="E11" s="117">
        <f t="shared" si="0"/>
        <v>0</v>
      </c>
      <c r="H11" s="93"/>
      <c r="I11" s="93"/>
      <c r="J11" s="3" t="s">
        <v>408</v>
      </c>
    </row>
    <row r="12" spans="1:10" s="3" customFormat="1" ht="13.8" x14ac:dyDescent="0.3">
      <c r="A12" s="209" t="s">
        <v>345</v>
      </c>
      <c r="B12" s="169">
        <v>1</v>
      </c>
      <c r="C12" s="18" t="s">
        <v>247</v>
      </c>
      <c r="D12" s="117">
        <v>55</v>
      </c>
      <c r="E12" s="117">
        <f t="shared" si="0"/>
        <v>55</v>
      </c>
      <c r="H12" s="93">
        <v>41214</v>
      </c>
      <c r="J12" s="3" t="s">
        <v>276</v>
      </c>
    </row>
    <row r="13" spans="1:10" s="3" customFormat="1" ht="13.8" x14ac:dyDescent="0.3">
      <c r="A13" s="209" t="s">
        <v>462</v>
      </c>
      <c r="B13" s="169">
        <v>1</v>
      </c>
      <c r="C13" s="18" t="s">
        <v>247</v>
      </c>
      <c r="D13" s="117">
        <v>6.5</v>
      </c>
      <c r="E13" s="117">
        <f t="shared" si="0"/>
        <v>6.5</v>
      </c>
      <c r="H13" s="93">
        <v>41215</v>
      </c>
      <c r="I13" s="93">
        <v>40940</v>
      </c>
      <c r="J13" s="3" t="s">
        <v>276</v>
      </c>
    </row>
    <row r="14" spans="1:10" s="3" customFormat="1" ht="13.8" x14ac:dyDescent="0.3">
      <c r="A14" s="209" t="s">
        <v>462</v>
      </c>
      <c r="B14" s="169">
        <v>1</v>
      </c>
      <c r="C14" s="18" t="s">
        <v>247</v>
      </c>
      <c r="D14" s="117">
        <v>6.5</v>
      </c>
      <c r="E14" s="117">
        <f t="shared" si="0"/>
        <v>6.5</v>
      </c>
      <c r="H14" s="93"/>
      <c r="I14" s="93"/>
      <c r="J14" s="3" t="s">
        <v>383</v>
      </c>
    </row>
    <row r="15" spans="1:10" s="3" customFormat="1" ht="13.8" x14ac:dyDescent="0.3">
      <c r="A15" s="209" t="s">
        <v>463</v>
      </c>
      <c r="B15" s="169">
        <v>1</v>
      </c>
      <c r="C15" s="18" t="s">
        <v>247</v>
      </c>
      <c r="D15" s="117">
        <v>6.5</v>
      </c>
      <c r="E15" s="117">
        <f t="shared" si="0"/>
        <v>6.5</v>
      </c>
      <c r="H15" s="93">
        <v>40941</v>
      </c>
      <c r="J15" s="3" t="s">
        <v>347</v>
      </c>
    </row>
    <row r="16" spans="1:10" s="3" customFormat="1" ht="13.8" x14ac:dyDescent="0.3">
      <c r="A16" s="209" t="s">
        <v>38</v>
      </c>
      <c r="B16" s="169">
        <v>1</v>
      </c>
      <c r="C16" s="18" t="s">
        <v>247</v>
      </c>
      <c r="D16" s="117">
        <f>Cotizaciones!F14</f>
        <v>5</v>
      </c>
      <c r="E16" s="117">
        <f t="shared" si="0"/>
        <v>5</v>
      </c>
      <c r="H16" s="93">
        <v>41183</v>
      </c>
      <c r="J16" s="3" t="s">
        <v>261</v>
      </c>
    </row>
    <row r="17" spans="1:10" s="3" customFormat="1" ht="13.8" x14ac:dyDescent="0.3">
      <c r="A17" s="209" t="s">
        <v>264</v>
      </c>
      <c r="B17" s="169">
        <v>0</v>
      </c>
      <c r="C17" s="18" t="s">
        <v>247</v>
      </c>
      <c r="D17" s="117">
        <f>Cotizaciones!F13</f>
        <v>0</v>
      </c>
      <c r="E17" s="117">
        <f t="shared" si="0"/>
        <v>0</v>
      </c>
    </row>
    <row r="18" spans="1:10" s="3" customFormat="1" ht="13.8" x14ac:dyDescent="0.3">
      <c r="A18" s="209" t="s">
        <v>413</v>
      </c>
      <c r="B18" s="169">
        <v>0.5</v>
      </c>
      <c r="C18" s="18" t="s">
        <v>247</v>
      </c>
      <c r="D18" s="117">
        <f>Cotizaciones!F6</f>
        <v>5</v>
      </c>
      <c r="E18" s="117">
        <f>B18*D18</f>
        <v>2.5</v>
      </c>
      <c r="H18" s="93">
        <v>41214</v>
      </c>
      <c r="J18" s="3" t="s">
        <v>261</v>
      </c>
    </row>
    <row r="19" spans="1:10" s="3" customFormat="1" ht="13.8" x14ac:dyDescent="0.3">
      <c r="A19" s="209"/>
      <c r="B19" s="87"/>
      <c r="C19" s="18"/>
      <c r="D19" s="19"/>
      <c r="E19" s="19"/>
    </row>
    <row r="20" spans="1:10" s="3" customFormat="1" ht="15" customHeight="1" x14ac:dyDescent="0.3">
      <c r="A20" s="210"/>
      <c r="B20" s="7"/>
      <c r="C20" s="667" t="s">
        <v>265</v>
      </c>
      <c r="D20" s="667"/>
      <c r="E20" s="141">
        <f>SUM(E8:E19)</f>
        <v>82</v>
      </c>
      <c r="F20" s="159">
        <f>E20/E73</f>
        <v>8.7769088519086075E-2</v>
      </c>
      <c r="G20" s="141">
        <f>E20*D1</f>
        <v>0</v>
      </c>
    </row>
    <row r="21" spans="1:10" s="3" customFormat="1" ht="13.8" x14ac:dyDescent="0.3">
      <c r="A21" s="208" t="s">
        <v>205</v>
      </c>
      <c r="B21" s="11"/>
      <c r="C21" s="12"/>
      <c r="D21" s="24"/>
      <c r="E21" s="25"/>
      <c r="F21" s="15"/>
    </row>
    <row r="22" spans="1:10" s="3" customFormat="1" ht="11.1" customHeight="1" x14ac:dyDescent="0.3">
      <c r="A22" s="211"/>
      <c r="B22" s="87"/>
      <c r="C22" s="18"/>
      <c r="D22" s="28"/>
      <c r="E22" s="29"/>
    </row>
    <row r="23" spans="1:10" s="3" customFormat="1" ht="13.8" x14ac:dyDescent="0.3">
      <c r="A23" s="212" t="s">
        <v>349</v>
      </c>
      <c r="B23" s="169">
        <v>50</v>
      </c>
      <c r="C23" s="18" t="s">
        <v>350</v>
      </c>
      <c r="D23" s="161">
        <f>Cotizaciones!E45*(40/1000)</f>
        <v>1.4000000000000001</v>
      </c>
      <c r="E23" s="162">
        <f>B23*D23</f>
        <v>70</v>
      </c>
      <c r="H23" s="93">
        <v>41214</v>
      </c>
      <c r="J23" s="3" t="s">
        <v>261</v>
      </c>
    </row>
    <row r="24" spans="1:10" s="3" customFormat="1" ht="13.8" x14ac:dyDescent="0.3">
      <c r="A24" s="212"/>
      <c r="B24" s="18"/>
      <c r="C24" s="667" t="s">
        <v>270</v>
      </c>
      <c r="D24" s="667"/>
      <c r="E24" s="141">
        <f>SUM(E23:E23)</f>
        <v>70</v>
      </c>
      <c r="F24" s="159">
        <f>E24/E73</f>
        <v>7.4924831662634458E-2</v>
      </c>
      <c r="G24" s="141">
        <f>E24*D1</f>
        <v>0</v>
      </c>
    </row>
    <row r="25" spans="1:10" s="3" customFormat="1" ht="13.8" x14ac:dyDescent="0.3">
      <c r="A25" s="212"/>
      <c r="B25" s="87"/>
      <c r="C25" s="18"/>
      <c r="D25" s="28"/>
      <c r="E25" s="29"/>
    </row>
    <row r="26" spans="1:10" s="3" customFormat="1" ht="13.8" x14ac:dyDescent="0.3">
      <c r="A26" s="208" t="s">
        <v>206</v>
      </c>
      <c r="B26" s="11">
        <v>1</v>
      </c>
      <c r="C26" s="12" t="s">
        <v>247</v>
      </c>
      <c r="D26" s="86">
        <f>+'Resumen Proy'!B56</f>
        <v>426</v>
      </c>
      <c r="E26" s="175">
        <f>B26*D26</f>
        <v>426</v>
      </c>
      <c r="F26" s="15"/>
    </row>
    <row r="27" spans="1:10" s="3" customFormat="1" ht="13.8" x14ac:dyDescent="0.3">
      <c r="A27" s="212"/>
      <c r="B27" s="87"/>
      <c r="C27" s="754" t="s">
        <v>271</v>
      </c>
      <c r="D27" s="754"/>
      <c r="E27" s="176">
        <f>E26</f>
        <v>426</v>
      </c>
      <c r="F27" s="159">
        <f>E27/E73</f>
        <v>0.45597111840403254</v>
      </c>
      <c r="G27" s="141">
        <f>E27*D1</f>
        <v>0</v>
      </c>
    </row>
    <row r="28" spans="1:10" s="3" customFormat="1" ht="13.8" x14ac:dyDescent="0.3">
      <c r="A28" s="212"/>
      <c r="B28" s="87"/>
      <c r="C28" s="18"/>
      <c r="D28" s="28"/>
      <c r="E28" s="29"/>
    </row>
    <row r="29" spans="1:10" s="3" customFormat="1" ht="13.8" x14ac:dyDescent="0.3">
      <c r="A29" s="208" t="s">
        <v>207</v>
      </c>
      <c r="B29" s="281">
        <v>40</v>
      </c>
      <c r="C29" s="12" t="s">
        <v>272</v>
      </c>
      <c r="D29" s="173">
        <f>B29</f>
        <v>40</v>
      </c>
      <c r="E29" s="174">
        <f>D29</f>
        <v>40</v>
      </c>
      <c r="F29" s="15"/>
    </row>
    <row r="30" spans="1:10" s="3" customFormat="1" ht="13.8" x14ac:dyDescent="0.3">
      <c r="A30" s="212"/>
      <c r="B30" s="87"/>
      <c r="C30" s="754" t="s">
        <v>273</v>
      </c>
      <c r="D30" s="754"/>
      <c r="E30" s="141">
        <f>E29</f>
        <v>40</v>
      </c>
      <c r="F30" s="159">
        <f>E30/E73</f>
        <v>4.2814189521505404E-2</v>
      </c>
      <c r="G30" s="141">
        <f>E30*D1</f>
        <v>0</v>
      </c>
    </row>
    <row r="31" spans="1:10" s="3" customFormat="1" ht="13.8" x14ac:dyDescent="0.3">
      <c r="A31" s="212"/>
      <c r="B31" s="87"/>
      <c r="C31" s="7"/>
      <c r="D31" s="7"/>
      <c r="E31" s="33"/>
    </row>
    <row r="32" spans="1:10" s="3" customFormat="1" ht="13.8" x14ac:dyDescent="0.3">
      <c r="A32" s="208" t="s">
        <v>140</v>
      </c>
      <c r="B32" s="11"/>
      <c r="C32" s="12"/>
      <c r="D32" s="24"/>
      <c r="E32" s="25"/>
      <c r="F32" s="15"/>
    </row>
    <row r="33" spans="1:10" s="3" customFormat="1" ht="13.8" x14ac:dyDescent="0.3">
      <c r="A33" s="212" t="s">
        <v>366</v>
      </c>
      <c r="B33" s="170">
        <v>0.03</v>
      </c>
      <c r="C33" s="18" t="s">
        <v>275</v>
      </c>
      <c r="D33" s="173">
        <f>Cotizaciones!I25+Cotizaciones!F26</f>
        <v>1025</v>
      </c>
      <c r="E33" s="146">
        <f>B33*D33</f>
        <v>30.75</v>
      </c>
      <c r="H33" s="93">
        <v>41214</v>
      </c>
    </row>
    <row r="34" spans="1:10" s="3" customFormat="1" ht="13.8" x14ac:dyDescent="0.3">
      <c r="A34" s="212" t="s">
        <v>466</v>
      </c>
      <c r="B34" s="170">
        <v>0</v>
      </c>
      <c r="C34" s="18" t="s">
        <v>275</v>
      </c>
      <c r="D34" s="173">
        <f>Cotizaciones!I9+Cotizaciones!F26</f>
        <v>805</v>
      </c>
      <c r="E34" s="146">
        <f>B34*D34</f>
        <v>0</v>
      </c>
      <c r="J34" s="3" t="s">
        <v>261</v>
      </c>
    </row>
    <row r="35" spans="1:10" s="3" customFormat="1" ht="13.8" x14ac:dyDescent="0.3">
      <c r="A35" s="212"/>
      <c r="B35" s="18"/>
      <c r="C35" s="667" t="s">
        <v>280</v>
      </c>
      <c r="D35" s="667"/>
      <c r="E35" s="176">
        <f>SUM(E33:E34)</f>
        <v>30.75</v>
      </c>
      <c r="F35" s="159">
        <f>E35/E73</f>
        <v>3.2913408194657282E-2</v>
      </c>
      <c r="G35" s="141">
        <f>E35*D1</f>
        <v>0</v>
      </c>
    </row>
    <row r="36" spans="1:10" s="3" customFormat="1" ht="13.8" x14ac:dyDescent="0.3">
      <c r="A36" s="208" t="s">
        <v>118</v>
      </c>
      <c r="B36" s="12"/>
      <c r="C36" s="67"/>
      <c r="D36" s="67"/>
      <c r="E36" s="68"/>
      <c r="F36" s="147"/>
    </row>
    <row r="37" spans="1:10" s="3" customFormat="1" ht="13.8" x14ac:dyDescent="0.3">
      <c r="A37" s="212"/>
      <c r="B37" s="87"/>
      <c r="C37" s="18"/>
      <c r="D37" s="28"/>
      <c r="E37" s="29"/>
    </row>
    <row r="38" spans="1:10" s="3" customFormat="1" ht="13.8" x14ac:dyDescent="0.3">
      <c r="A38" s="212" t="s">
        <v>145</v>
      </c>
      <c r="B38" s="171">
        <v>1.5</v>
      </c>
      <c r="C38" s="18" t="s">
        <v>283</v>
      </c>
      <c r="D38" s="117">
        <f>Cotizaciones!I6</f>
        <v>3</v>
      </c>
      <c r="E38" s="117">
        <f>B38*D38</f>
        <v>4.5</v>
      </c>
      <c r="H38" s="3" t="str">
        <f>A15</f>
        <v>Aplicación terrestre Insecticida/ Fungicida</v>
      </c>
      <c r="J38" s="3" t="s">
        <v>276</v>
      </c>
    </row>
    <row r="39" spans="1:10" s="3" customFormat="1" ht="13.8" x14ac:dyDescent="0.3">
      <c r="A39" s="212" t="s">
        <v>469</v>
      </c>
      <c r="B39" s="171">
        <v>0</v>
      </c>
      <c r="C39" s="18" t="s">
        <v>283</v>
      </c>
      <c r="D39" s="117">
        <f>Cotizaciones!I21</f>
        <v>12</v>
      </c>
      <c r="E39" s="117">
        <f>B39*D39</f>
        <v>0</v>
      </c>
      <c r="H39" s="3" t="str">
        <f>+A10</f>
        <v>Barbecho Quimico</v>
      </c>
      <c r="J39" s="3" t="s">
        <v>253</v>
      </c>
    </row>
    <row r="40" spans="1:10" s="3" customFormat="1" ht="13.8" x14ac:dyDescent="0.3">
      <c r="A40" s="212" t="s">
        <v>100</v>
      </c>
      <c r="B40" s="171">
        <v>1</v>
      </c>
      <c r="C40" s="18" t="s">
        <v>283</v>
      </c>
      <c r="D40" s="117">
        <f>Cotizaciones!I42</f>
        <v>1.1000000000000001</v>
      </c>
      <c r="E40" s="117">
        <f>B40*D40</f>
        <v>1.1000000000000001</v>
      </c>
      <c r="H40" s="3" t="str">
        <f>+H39</f>
        <v>Barbecho Quimico</v>
      </c>
      <c r="J40" s="3" t="str">
        <f>+J39</f>
        <v>JULIO</v>
      </c>
    </row>
    <row r="41" spans="1:10" s="3" customFormat="1" ht="13.8" x14ac:dyDescent="0.3">
      <c r="A41" s="212" t="s">
        <v>353</v>
      </c>
      <c r="B41" s="171">
        <f>B23/2500</f>
        <v>0.02</v>
      </c>
      <c r="C41" s="18" t="s">
        <v>475</v>
      </c>
      <c r="D41" s="117">
        <f>Cotizaciones!I29</f>
        <v>250</v>
      </c>
      <c r="E41" s="117">
        <f>B41*D41</f>
        <v>5</v>
      </c>
      <c r="H41" s="3" t="str">
        <f>+A12</f>
        <v>Siembra Directa</v>
      </c>
      <c r="J41" s="3" t="s">
        <v>261</v>
      </c>
    </row>
    <row r="42" spans="1:10" s="3" customFormat="1" ht="13.8" x14ac:dyDescent="0.3">
      <c r="A42" s="212" t="s">
        <v>68</v>
      </c>
      <c r="B42" s="171">
        <v>6</v>
      </c>
      <c r="C42" s="18" t="s">
        <v>283</v>
      </c>
      <c r="D42" s="161">
        <f>Cotizaciones!I28</f>
        <v>4.5</v>
      </c>
      <c r="E42" s="117">
        <f t="shared" ref="E42:E50" si="1">B42*D42</f>
        <v>27</v>
      </c>
      <c r="H42" s="3" t="s">
        <v>251</v>
      </c>
      <c r="J42" s="3" t="s">
        <v>253</v>
      </c>
    </row>
    <row r="43" spans="1:10" s="3" customFormat="1" ht="13.8" x14ac:dyDescent="0.3">
      <c r="A43" s="212" t="s">
        <v>7</v>
      </c>
      <c r="B43" s="170">
        <v>3</v>
      </c>
      <c r="C43" s="18" t="s">
        <v>283</v>
      </c>
      <c r="D43" s="117">
        <f>Cotizaciones!I5</f>
        <v>4.5999999999999996</v>
      </c>
      <c r="E43" s="117">
        <f t="shared" si="1"/>
        <v>13.799999999999999</v>
      </c>
      <c r="H43" s="3" t="s">
        <v>476</v>
      </c>
      <c r="J43" s="3" t="s">
        <v>253</v>
      </c>
    </row>
    <row r="44" spans="1:10" s="3" customFormat="1" ht="13.8" x14ac:dyDescent="0.3">
      <c r="A44" s="212" t="s">
        <v>141</v>
      </c>
      <c r="B44" s="171">
        <v>1.2</v>
      </c>
      <c r="C44" s="18" t="s">
        <v>283</v>
      </c>
      <c r="D44" s="117">
        <f>Cotizaciones!I27</f>
        <v>6</v>
      </c>
      <c r="E44" s="117">
        <f t="shared" si="1"/>
        <v>7.1999999999999993</v>
      </c>
    </row>
    <row r="45" spans="1:10" s="3" customFormat="1" ht="13.8" x14ac:dyDescent="0.3">
      <c r="A45" s="212" t="s">
        <v>456</v>
      </c>
      <c r="B45" s="171">
        <v>0</v>
      </c>
      <c r="C45" s="18" t="s">
        <v>283</v>
      </c>
      <c r="D45" s="117">
        <f>Cotizaciones!I45</f>
        <v>2.6</v>
      </c>
      <c r="E45" s="117">
        <f t="shared" si="1"/>
        <v>0</v>
      </c>
      <c r="J45" s="3" t="s">
        <v>347</v>
      </c>
    </row>
    <row r="46" spans="1:10" s="3" customFormat="1" ht="13.8" x14ac:dyDescent="0.3">
      <c r="A46" s="212" t="s">
        <v>90</v>
      </c>
      <c r="B46" s="171">
        <v>0</v>
      </c>
      <c r="C46" s="18" t="s">
        <v>283</v>
      </c>
      <c r="D46" s="117">
        <f>Cotizaciones!I39</f>
        <v>8</v>
      </c>
      <c r="E46" s="117">
        <f t="shared" si="1"/>
        <v>0</v>
      </c>
      <c r="J46" s="3" t="s">
        <v>276</v>
      </c>
    </row>
    <row r="47" spans="1:10" s="3" customFormat="1" ht="13.8" x14ac:dyDescent="0.3">
      <c r="A47" s="212" t="s">
        <v>525</v>
      </c>
      <c r="B47" s="171">
        <v>2</v>
      </c>
      <c r="C47" s="18" t="s">
        <v>283</v>
      </c>
      <c r="D47" s="117">
        <f>+Cotizaciones!I28</f>
        <v>4.5</v>
      </c>
      <c r="E47" s="117">
        <f t="shared" si="1"/>
        <v>9</v>
      </c>
      <c r="H47" s="3" t="s">
        <v>477</v>
      </c>
      <c r="J47" s="3" t="s">
        <v>276</v>
      </c>
    </row>
    <row r="48" spans="1:10" s="3" customFormat="1" ht="13.8" x14ac:dyDescent="0.3">
      <c r="A48" s="212"/>
      <c r="B48" s="171">
        <v>0</v>
      </c>
      <c r="C48" s="18" t="s">
        <v>283</v>
      </c>
      <c r="D48" s="117">
        <f>Cotizaciones!I15</f>
        <v>20</v>
      </c>
      <c r="E48" s="117">
        <f t="shared" si="1"/>
        <v>0</v>
      </c>
      <c r="J48" s="3" t="s">
        <v>276</v>
      </c>
    </row>
    <row r="49" spans="1:10" s="3" customFormat="1" ht="13.8" x14ac:dyDescent="0.3">
      <c r="A49" s="212"/>
      <c r="B49" s="171">
        <v>0</v>
      </c>
      <c r="C49" s="18" t="s">
        <v>283</v>
      </c>
      <c r="D49" s="117">
        <f>Cotizaciones!I19</f>
        <v>7</v>
      </c>
      <c r="E49" s="117">
        <f t="shared" si="1"/>
        <v>0</v>
      </c>
      <c r="H49" s="3" t="s">
        <v>477</v>
      </c>
      <c r="J49" s="3" t="s">
        <v>276</v>
      </c>
    </row>
    <row r="50" spans="1:10" s="3" customFormat="1" ht="13.8" x14ac:dyDescent="0.3">
      <c r="A50" s="212" t="s">
        <v>73</v>
      </c>
      <c r="B50" s="171">
        <v>0.12</v>
      </c>
      <c r="C50" s="18" t="s">
        <v>283</v>
      </c>
      <c r="D50" s="117">
        <f>Cotizaciones!I30</f>
        <v>100</v>
      </c>
      <c r="E50" s="117">
        <f t="shared" si="1"/>
        <v>12</v>
      </c>
      <c r="H50" s="3" t="s">
        <v>463</v>
      </c>
      <c r="J50" s="3" t="s">
        <v>347</v>
      </c>
    </row>
    <row r="51" spans="1:10" s="3" customFormat="1" ht="13.8" x14ac:dyDescent="0.3">
      <c r="A51" s="212" t="s">
        <v>39</v>
      </c>
      <c r="B51" s="171">
        <v>2</v>
      </c>
      <c r="C51" s="18" t="s">
        <v>421</v>
      </c>
      <c r="D51" s="117">
        <f>Cotizaciones!I14</f>
        <v>7</v>
      </c>
      <c r="E51" s="117">
        <f>B51*D51</f>
        <v>14</v>
      </c>
      <c r="H51" s="3" t="str">
        <f>+A18</f>
        <v>Aplicacion Cebo</v>
      </c>
      <c r="J51" s="3" t="s">
        <v>261</v>
      </c>
    </row>
    <row r="52" spans="1:10" s="3" customFormat="1" ht="13.8" x14ac:dyDescent="0.3">
      <c r="A52" s="212"/>
      <c r="B52" s="18"/>
      <c r="C52" s="667" t="s">
        <v>288</v>
      </c>
      <c r="D52" s="667"/>
      <c r="E52" s="176">
        <f>SUM(E38:E51)</f>
        <v>93.6</v>
      </c>
      <c r="F52" s="159">
        <f>E52/E73</f>
        <v>0.10018520348032264</v>
      </c>
      <c r="G52" s="141">
        <f>E52*D1</f>
        <v>0</v>
      </c>
    </row>
    <row r="53" spans="1:10" s="3" customFormat="1" ht="13.8" x14ac:dyDescent="0.3">
      <c r="A53" s="212"/>
      <c r="B53" s="87"/>
      <c r="C53" s="18"/>
      <c r="D53" s="28"/>
      <c r="E53" s="29"/>
    </row>
    <row r="54" spans="1:10" s="3" customFormat="1" ht="13.8" x14ac:dyDescent="0.3">
      <c r="A54" s="208" t="s">
        <v>289</v>
      </c>
      <c r="B54" s="214">
        <v>1</v>
      </c>
      <c r="C54" s="12" t="s">
        <v>290</v>
      </c>
      <c r="D54" s="173">
        <v>95</v>
      </c>
      <c r="E54" s="174">
        <f>+D54*B54</f>
        <v>95</v>
      </c>
      <c r="F54" s="15"/>
    </row>
    <row r="55" spans="1:10" s="3" customFormat="1" ht="13.8" x14ac:dyDescent="0.3">
      <c r="A55" s="213"/>
      <c r="B55" s="180"/>
      <c r="C55" s="754" t="s">
        <v>291</v>
      </c>
      <c r="D55" s="754"/>
      <c r="E55" s="176">
        <f>E54</f>
        <v>95</v>
      </c>
      <c r="F55" s="159">
        <f>E55/E73</f>
        <v>0.10168370011357533</v>
      </c>
    </row>
    <row r="56" spans="1:10" s="3" customFormat="1" ht="13.8" x14ac:dyDescent="0.3">
      <c r="A56" s="208" t="s">
        <v>300</v>
      </c>
      <c r="B56" s="214"/>
      <c r="C56" s="12"/>
      <c r="D56" s="24"/>
      <c r="E56" s="25"/>
      <c r="F56" s="15"/>
    </row>
    <row r="57" spans="1:10" s="3" customFormat="1" ht="13.8" x14ac:dyDescent="0.3">
      <c r="A57" s="213" t="s">
        <v>301</v>
      </c>
      <c r="B57" s="181">
        <v>0</v>
      </c>
      <c r="C57" s="18" t="s">
        <v>302</v>
      </c>
      <c r="D57" s="145">
        <f>Cotizaciones!F24</f>
        <v>3.3</v>
      </c>
      <c r="E57" s="146">
        <f>D57*B57*B81</f>
        <v>0</v>
      </c>
    </row>
    <row r="58" spans="1:10" s="3" customFormat="1" ht="13.8" x14ac:dyDescent="0.3">
      <c r="A58" s="213" t="s">
        <v>303</v>
      </c>
      <c r="B58" s="181">
        <v>0</v>
      </c>
      <c r="C58" s="18" t="s">
        <v>355</v>
      </c>
      <c r="D58" s="145">
        <f>Cotizaciones!I41/210</f>
        <v>1.9523809523809523</v>
      </c>
      <c r="E58" s="146">
        <f t="shared" ref="E58:E63" si="2">+D58*B58*$B$81</f>
        <v>0</v>
      </c>
    </row>
    <row r="59" spans="1:10" s="3" customFormat="1" ht="13.8" x14ac:dyDescent="0.3">
      <c r="A59" s="213" t="s">
        <v>305</v>
      </c>
      <c r="B59" s="181">
        <v>0</v>
      </c>
      <c r="C59" s="18" t="s">
        <v>302</v>
      </c>
      <c r="D59" s="146">
        <f>Cotizaciones!F33</f>
        <v>3</v>
      </c>
      <c r="E59" s="146">
        <f t="shared" si="2"/>
        <v>0</v>
      </c>
    </row>
    <row r="60" spans="1:10" s="3" customFormat="1" ht="13.8" x14ac:dyDescent="0.3">
      <c r="A60" s="213" t="s">
        <v>306</v>
      </c>
      <c r="B60" s="181">
        <v>0.5</v>
      </c>
      <c r="C60" s="18" t="s">
        <v>302</v>
      </c>
      <c r="D60" s="146">
        <f>Cotizaciones!F35</f>
        <v>5</v>
      </c>
      <c r="E60" s="146">
        <f t="shared" si="2"/>
        <v>7</v>
      </c>
    </row>
    <row r="61" spans="1:10" s="3" customFormat="1" ht="13.8" x14ac:dyDescent="0.3">
      <c r="A61" s="213" t="s">
        <v>83</v>
      </c>
      <c r="B61" s="181">
        <v>0.5</v>
      </c>
      <c r="C61" s="18" t="s">
        <v>302</v>
      </c>
      <c r="D61" s="146">
        <f>Cotizaciones!F36</f>
        <v>6.5</v>
      </c>
      <c r="E61" s="146">
        <f t="shared" si="2"/>
        <v>9.1</v>
      </c>
    </row>
    <row r="62" spans="1:10" s="3" customFormat="1" ht="13.8" x14ac:dyDescent="0.3">
      <c r="A62" s="213" t="s">
        <v>307</v>
      </c>
      <c r="B62" s="181">
        <v>0.5</v>
      </c>
      <c r="C62" s="18" t="s">
        <v>302</v>
      </c>
      <c r="D62" s="146">
        <f>Cotizaciones!F5</f>
        <v>0</v>
      </c>
      <c r="E62" s="146">
        <f t="shared" si="2"/>
        <v>0</v>
      </c>
    </row>
    <row r="63" spans="1:10" s="3" customFormat="1" ht="13.8" x14ac:dyDescent="0.3">
      <c r="A63" s="213" t="s">
        <v>308</v>
      </c>
      <c r="B63" s="181">
        <v>1</v>
      </c>
      <c r="C63" s="18" t="s">
        <v>302</v>
      </c>
      <c r="D63" s="146">
        <f>Cotizaciones!F25</f>
        <v>20</v>
      </c>
      <c r="E63" s="146">
        <f t="shared" si="2"/>
        <v>56</v>
      </c>
    </row>
    <row r="64" spans="1:10" s="3" customFormat="1" ht="13.8" x14ac:dyDescent="0.3">
      <c r="A64" s="213" t="s">
        <v>309</v>
      </c>
      <c r="B64" s="181">
        <v>0</v>
      </c>
      <c r="C64" s="18" t="s">
        <v>295</v>
      </c>
      <c r="D64" s="146">
        <f>B64%*B84</f>
        <v>0</v>
      </c>
      <c r="E64" s="146">
        <f>D64</f>
        <v>0</v>
      </c>
    </row>
    <row r="65" spans="1:6" s="3" customFormat="1" ht="13.8" x14ac:dyDescent="0.3">
      <c r="A65" s="213"/>
      <c r="B65" s="215"/>
      <c r="C65" s="667" t="s">
        <v>310</v>
      </c>
      <c r="D65" s="667"/>
      <c r="E65" s="176">
        <f>SUM(E59:E64)</f>
        <v>72.099999999999994</v>
      </c>
      <c r="F65" s="159">
        <f>E65/E73</f>
        <v>7.7172576612513491E-2</v>
      </c>
    </row>
    <row r="66" spans="1:6" s="3" customFormat="1" ht="13.8" x14ac:dyDescent="0.3">
      <c r="A66" s="213"/>
      <c r="B66" s="180"/>
      <c r="C66" s="18"/>
      <c r="D66" s="28"/>
      <c r="E66" s="29"/>
    </row>
    <row r="67" spans="1:6" s="3" customFormat="1" ht="13.8" x14ac:dyDescent="0.3">
      <c r="A67" s="208" t="s">
        <v>292</v>
      </c>
      <c r="B67" s="182">
        <v>3.8</v>
      </c>
      <c r="C67" s="12" t="s">
        <v>241</v>
      </c>
      <c r="D67" s="177">
        <f>B67%*B88</f>
        <v>24.819699999999997</v>
      </c>
      <c r="E67" s="178">
        <f>D67</f>
        <v>24.819699999999997</v>
      </c>
      <c r="F67" s="15"/>
    </row>
    <row r="68" spans="1:6" s="3" customFormat="1" ht="13.8" x14ac:dyDescent="0.3">
      <c r="A68" s="213"/>
      <c r="B68" s="180"/>
      <c r="C68" s="754" t="s">
        <v>293</v>
      </c>
      <c r="D68" s="754"/>
      <c r="E68" s="176">
        <f>E67</f>
        <v>24.819699999999997</v>
      </c>
      <c r="F68" s="159">
        <f>E68/E73</f>
        <v>2.6565883491672691E-2</v>
      </c>
    </row>
    <row r="69" spans="1:6" s="3" customFormat="1" ht="13.8" x14ac:dyDescent="0.3">
      <c r="A69" s="213"/>
      <c r="B69" s="180"/>
      <c r="C69" s="7"/>
      <c r="D69" s="7"/>
      <c r="E69" s="38"/>
    </row>
    <row r="70" spans="1:6" s="3" customFormat="1" ht="13.8" x14ac:dyDescent="0.3">
      <c r="A70" s="208" t="s">
        <v>294</v>
      </c>
      <c r="B70" s="214">
        <v>0</v>
      </c>
      <c r="C70" s="12" t="s">
        <v>295</v>
      </c>
      <c r="D70" s="71">
        <v>0</v>
      </c>
      <c r="E70" s="64">
        <f>(E52+E35+E27+E20+E24)*D70/100</f>
        <v>0</v>
      </c>
      <c r="F70" s="15"/>
    </row>
    <row r="71" spans="1:6" s="3" customFormat="1" ht="13.8" x14ac:dyDescent="0.3">
      <c r="A71" s="212"/>
      <c r="B71" s="27"/>
      <c r="C71" s="754" t="s">
        <v>296</v>
      </c>
      <c r="D71" s="754"/>
      <c r="E71" s="32"/>
      <c r="F71" s="22"/>
    </row>
    <row r="72" spans="1:6" s="3" customFormat="1" ht="13.8" x14ac:dyDescent="0.3">
      <c r="A72" s="212"/>
      <c r="B72" s="27"/>
      <c r="C72" s="7"/>
      <c r="D72" s="7"/>
      <c r="E72" s="38"/>
    </row>
    <row r="73" spans="1:6" s="3" customFormat="1" ht="13.8" x14ac:dyDescent="0.3">
      <c r="A73" s="224"/>
      <c r="B73" s="73"/>
      <c r="C73" s="673" t="s">
        <v>317</v>
      </c>
      <c r="D73" s="673"/>
      <c r="E73" s="74">
        <f>E20+E24+E27+E30+E35+E52+E55+E65+E68+E71</f>
        <v>934.26970000000006</v>
      </c>
      <c r="F73" s="75">
        <f>F68+F65+F55+F52+F35+F30+F27+F24+F20</f>
        <v>0.99999999999999989</v>
      </c>
    </row>
    <row r="74" spans="1:6" s="3" customFormat="1" ht="13.8" x14ac:dyDescent="0.3">
      <c r="A74" s="30"/>
      <c r="B74" s="30"/>
      <c r="C74" s="18"/>
      <c r="D74" s="28"/>
      <c r="E74" s="18"/>
    </row>
    <row r="75" spans="1:6" s="3" customFormat="1" ht="13.8" x14ac:dyDescent="0.3">
      <c r="A75" s="213" t="s">
        <v>356</v>
      </c>
      <c r="B75" s="27"/>
      <c r="C75" s="566"/>
      <c r="D75" s="566"/>
      <c r="E75" s="227">
        <f>+Cotizaciones!B14</f>
        <v>355</v>
      </c>
      <c r="F75" s="567"/>
    </row>
    <row r="76" spans="1:6" s="3" customFormat="1" ht="13.8" x14ac:dyDescent="0.3">
      <c r="A76" s="213" t="s">
        <v>311</v>
      </c>
      <c r="B76" s="30"/>
      <c r="C76" s="18"/>
      <c r="D76" s="28"/>
      <c r="E76" s="227">
        <f>+E65/B81</f>
        <v>25.75</v>
      </c>
      <c r="F76" s="22">
        <f>+E76/E75</f>
        <v>7.2535211267605634E-2</v>
      </c>
    </row>
    <row r="77" spans="1:6" s="3" customFormat="1" ht="13.8" x14ac:dyDescent="0.3">
      <c r="A77" s="213" t="s">
        <v>312</v>
      </c>
      <c r="D77" s="28"/>
      <c r="E77" s="227">
        <f>+E75-E76</f>
        <v>329.25</v>
      </c>
    </row>
    <row r="78" spans="1:6" s="3" customFormat="1" ht="13.8" x14ac:dyDescent="0.3">
      <c r="A78" s="30"/>
      <c r="B78" s="30"/>
      <c r="C78" s="18"/>
      <c r="D78" s="28"/>
      <c r="E78" s="18"/>
    </row>
    <row r="79" spans="1:6" s="3" customFormat="1" thickBot="1" x14ac:dyDescent="0.35">
      <c r="D79" s="28"/>
      <c r="E79" s="18"/>
    </row>
    <row r="80" spans="1:6" s="3" customFormat="1" thickBot="1" x14ac:dyDescent="0.35">
      <c r="A80" s="670" t="s">
        <v>478</v>
      </c>
      <c r="B80" s="671"/>
      <c r="C80" s="672"/>
      <c r="D80" s="28"/>
      <c r="E80" s="39"/>
    </row>
    <row r="81" spans="1:8" s="3" customFormat="1" ht="13.8" x14ac:dyDescent="0.3">
      <c r="A81" s="193" t="s">
        <v>315</v>
      </c>
      <c r="B81" s="265">
        <v>2.8</v>
      </c>
      <c r="C81" s="194" t="s">
        <v>316</v>
      </c>
      <c r="D81" s="749"/>
      <c r="E81" s="749"/>
      <c r="F81" s="749"/>
    </row>
    <row r="82" spans="1:8" s="3" customFormat="1" ht="13.8" x14ac:dyDescent="0.3">
      <c r="A82" s="190" t="s">
        <v>341</v>
      </c>
      <c r="B82" s="200">
        <f>Cotizaciones!B14</f>
        <v>355</v>
      </c>
      <c r="C82" s="196" t="s">
        <v>275</v>
      </c>
      <c r="D82" s="749"/>
      <c r="E82" s="749"/>
      <c r="F82" s="749"/>
    </row>
    <row r="83" spans="1:8" s="3" customFormat="1" ht="13.8" x14ac:dyDescent="0.3">
      <c r="A83" s="191" t="s">
        <v>317</v>
      </c>
      <c r="B83" s="201">
        <f>E73-E65</f>
        <v>862.16970000000003</v>
      </c>
      <c r="C83" s="197" t="s">
        <v>21</v>
      </c>
      <c r="D83" s="183"/>
      <c r="E83" s="183"/>
      <c r="F83" s="183"/>
    </row>
    <row r="84" spans="1:8" s="3" customFormat="1" ht="13.8" x14ac:dyDescent="0.3">
      <c r="A84" s="190" t="s">
        <v>160</v>
      </c>
      <c r="B84" s="200">
        <f>+B82*B81</f>
        <v>993.99999999999989</v>
      </c>
      <c r="C84" s="196" t="s">
        <v>318</v>
      </c>
      <c r="D84" s="28"/>
      <c r="E84" s="30"/>
    </row>
    <row r="85" spans="1:8" s="3" customFormat="1" ht="13.8" x14ac:dyDescent="0.3">
      <c r="A85" s="191" t="s">
        <v>321</v>
      </c>
      <c r="B85" s="202">
        <f>+B84-E73</f>
        <v>59.730299999999829</v>
      </c>
      <c r="C85" s="197" t="s">
        <v>318</v>
      </c>
      <c r="D85" s="28"/>
      <c r="E85" s="30"/>
    </row>
    <row r="86" spans="1:8" s="3" customFormat="1" ht="13.8" x14ac:dyDescent="0.3">
      <c r="A86" s="191" t="s">
        <v>325</v>
      </c>
      <c r="B86" s="273">
        <f>B85/B83</f>
        <v>6.9279052604144895E-2</v>
      </c>
      <c r="C86" s="197"/>
      <c r="D86" s="28"/>
      <c r="E86" s="30"/>
    </row>
    <row r="87" spans="1:8" s="3" customFormat="1" ht="13.8" x14ac:dyDescent="0.3">
      <c r="A87" s="190" t="s">
        <v>326</v>
      </c>
      <c r="B87" s="234">
        <f>(E24+E20+E27+E35+E52+E55+E71+E68+E30)/(B82-B64%*B82-D63*B63-D57*B57-D60*B60-D61*B61-D62*B62-D58*B58-D59*B59)</f>
        <v>2.6185867881548974</v>
      </c>
      <c r="C87" s="197"/>
      <c r="D87" s="28"/>
      <c r="E87" s="30"/>
    </row>
    <row r="88" spans="1:8" s="3" customFormat="1" ht="13.8" x14ac:dyDescent="0.3">
      <c r="A88" s="191" t="s">
        <v>164</v>
      </c>
      <c r="B88" s="203">
        <f>E20+E24+E27*0.8+aquimsj1*0.9+E35+E52+E71</f>
        <v>653.15</v>
      </c>
      <c r="C88" s="197"/>
      <c r="D88" s="28"/>
      <c r="E88" s="30"/>
    </row>
    <row r="89" spans="1:8" s="3" customFormat="1" thickBot="1" x14ac:dyDescent="0.35">
      <c r="A89" s="192" t="s">
        <v>327</v>
      </c>
      <c r="B89" s="274">
        <f>B85/B88</f>
        <v>9.1449590446298454E-2</v>
      </c>
      <c r="C89" s="199"/>
      <c r="D89" s="28"/>
      <c r="E89" s="30"/>
    </row>
    <row r="90" spans="1:8" s="3" customFormat="1" ht="13.8" x14ac:dyDescent="0.3">
      <c r="A90" s="18"/>
      <c r="B90" s="41"/>
      <c r="C90" s="41"/>
      <c r="D90" s="28"/>
      <c r="E90" s="30"/>
    </row>
    <row r="91" spans="1:8" s="3" customFormat="1" ht="13.8" x14ac:dyDescent="0.3">
      <c r="A91" s="18"/>
      <c r="B91" s="41"/>
      <c r="C91" s="41"/>
      <c r="D91" s="28"/>
      <c r="E91" s="30"/>
    </row>
    <row r="92" spans="1:8" s="3" customFormat="1" ht="13.8" x14ac:dyDescent="0.3">
      <c r="A92" s="668" t="s">
        <v>317</v>
      </c>
      <c r="B92" s="668"/>
      <c r="C92" s="42">
        <f>E73</f>
        <v>934.26970000000006</v>
      </c>
      <c r="D92" s="6"/>
    </row>
    <row r="93" spans="1:8" s="3" customFormat="1" ht="13.8" x14ac:dyDescent="0.3">
      <c r="A93" s="762" t="s">
        <v>359</v>
      </c>
      <c r="B93" s="762"/>
      <c r="C93" s="762"/>
      <c r="D93" s="762"/>
      <c r="E93" s="762"/>
      <c r="F93" s="762"/>
      <c r="G93" s="762"/>
      <c r="H93" s="762"/>
    </row>
    <row r="94" spans="1:8" s="3" customFormat="1" ht="13.8" x14ac:dyDescent="0.3">
      <c r="A94" s="43" t="s">
        <v>332</v>
      </c>
      <c r="B94" s="44">
        <f>B103</f>
        <v>1.2999999999999998</v>
      </c>
      <c r="C94" s="44">
        <f t="shared" ref="C94:H94" si="3">C103</f>
        <v>1.5</v>
      </c>
      <c r="D94" s="44">
        <f t="shared" si="3"/>
        <v>2.5</v>
      </c>
      <c r="E94" s="44">
        <f t="shared" si="3"/>
        <v>2.8</v>
      </c>
      <c r="F94" s="44">
        <f t="shared" si="3"/>
        <v>3.3</v>
      </c>
      <c r="G94" s="44">
        <f t="shared" si="3"/>
        <v>3.5999999999999996</v>
      </c>
      <c r="H94" s="44">
        <f t="shared" si="3"/>
        <v>4</v>
      </c>
    </row>
    <row r="95" spans="1:8" s="3" customFormat="1" ht="13.8" x14ac:dyDescent="0.3">
      <c r="A95" s="47">
        <f>A96-10</f>
        <v>325</v>
      </c>
      <c r="B95" s="48">
        <f>B104/C92*100</f>
        <v>-54.777512317909924</v>
      </c>
      <c r="C95" s="48">
        <f>C104/C92*100</f>
        <v>-47.820206520665288</v>
      </c>
      <c r="D95" s="48">
        <f>D104/C92*100</f>
        <v>-13.033677534442148</v>
      </c>
      <c r="E95" s="49">
        <f>E104/C92*100</f>
        <v>-2.5977188385752177</v>
      </c>
      <c r="F95" s="48">
        <f>F104/C92*100</f>
        <v>14.795545654536365</v>
      </c>
      <c r="G95" s="48">
        <f>G104/C92*100</f>
        <v>25.231504350403284</v>
      </c>
      <c r="H95" s="50">
        <f>H104/C92*100</f>
        <v>39.146115944892564</v>
      </c>
    </row>
    <row r="96" spans="1:8" s="3" customFormat="1" ht="13.8" x14ac:dyDescent="0.3">
      <c r="A96" s="47">
        <f>A97-10</f>
        <v>335</v>
      </c>
      <c r="B96" s="48">
        <f>B105/C92*100</f>
        <v>-53.386051158461001</v>
      </c>
      <c r="C96" s="48">
        <f>C105/C92*100</f>
        <v>-46.214674413608833</v>
      </c>
      <c r="D96" s="48">
        <f>D105/C92*100</f>
        <v>-10.357790689348059</v>
      </c>
      <c r="E96" s="49">
        <f>E105/C92*100</f>
        <v>0.39927442793016071</v>
      </c>
      <c r="F96" s="48">
        <f>F105/C92*100</f>
        <v>18.327716290060561</v>
      </c>
      <c r="G96" s="48">
        <f>G105/C92*100</f>
        <v>29.084781407338767</v>
      </c>
      <c r="H96" s="50">
        <f>H105/C92*100</f>
        <v>43.427534897043103</v>
      </c>
    </row>
    <row r="97" spans="1:8" s="3" customFormat="1" ht="13.8" x14ac:dyDescent="0.3">
      <c r="A97" s="47">
        <f>A98-10</f>
        <v>345</v>
      </c>
      <c r="B97" s="48">
        <f>B106/C92*100</f>
        <v>-51.994589999012078</v>
      </c>
      <c r="C97" s="48">
        <f>C106/C92*100</f>
        <v>-44.609142306552386</v>
      </c>
      <c r="D97" s="48">
        <f>D106/C92*100</f>
        <v>-7.6819038442539718</v>
      </c>
      <c r="E97" s="49">
        <f>E106/C92*100</f>
        <v>3.3962676944355388</v>
      </c>
      <c r="F97" s="48">
        <f>F106/C92*100</f>
        <v>21.859886925584757</v>
      </c>
      <c r="G97" s="48">
        <f>G106/C92*100</f>
        <v>32.938058464274256</v>
      </c>
      <c r="H97" s="50">
        <f>H106/C92*100</f>
        <v>47.708953849193648</v>
      </c>
    </row>
    <row r="98" spans="1:8" s="3" customFormat="1" ht="13.8" x14ac:dyDescent="0.3">
      <c r="A98" s="51">
        <f>B82</f>
        <v>355</v>
      </c>
      <c r="B98" s="52">
        <f>B107/C92*100</f>
        <v>-50.603128839563148</v>
      </c>
      <c r="C98" s="53">
        <f>C107/C92*100</f>
        <v>-43.003610199495931</v>
      </c>
      <c r="D98" s="53">
        <f>D107/C92*100</f>
        <v>-5.0060169991598844</v>
      </c>
      <c r="E98" s="54">
        <f>E107/C92*100</f>
        <v>6.3932609609409177</v>
      </c>
      <c r="F98" s="53">
        <f>F107/C92*100</f>
        <v>25.392057561108956</v>
      </c>
      <c r="G98" s="53">
        <f>G107/C92*100</f>
        <v>36.791335521209746</v>
      </c>
      <c r="H98" s="55">
        <f>H107/C92*100</f>
        <v>51.990372801344186</v>
      </c>
    </row>
    <row r="99" spans="1:8" s="3" customFormat="1" ht="13.8" x14ac:dyDescent="0.3">
      <c r="A99" s="47">
        <f>A98+10</f>
        <v>365</v>
      </c>
      <c r="B99" s="56">
        <f>B108/C92*100</f>
        <v>-49.211667680114218</v>
      </c>
      <c r="C99" s="56">
        <f>C108/C92*100</f>
        <v>-41.398078092439476</v>
      </c>
      <c r="D99" s="56">
        <f>D108/C92*100</f>
        <v>-2.3301301540657966</v>
      </c>
      <c r="E99" s="57">
        <f>E108/C92*100</f>
        <v>9.3902542274462952</v>
      </c>
      <c r="F99" s="56">
        <f>F108/C92*100</f>
        <v>28.924228196633152</v>
      </c>
      <c r="G99" s="56">
        <f>G108/C92*100</f>
        <v>40.644612578145228</v>
      </c>
      <c r="H99" s="58">
        <f>H108/C92*100</f>
        <v>56.271791753494725</v>
      </c>
    </row>
    <row r="100" spans="1:8" s="3" customFormat="1" ht="13.8" x14ac:dyDescent="0.3">
      <c r="A100" s="47">
        <f>A99+10</f>
        <v>375</v>
      </c>
      <c r="B100" s="56">
        <f>B109/C92*100</f>
        <v>-47.820206520665295</v>
      </c>
      <c r="C100" s="56">
        <f>C109/C92*100</f>
        <v>-39.792545985383029</v>
      </c>
      <c r="D100" s="56">
        <f>D109/C92*100</f>
        <v>0.34575669102829115</v>
      </c>
      <c r="E100" s="57">
        <f>E109/C92*100</f>
        <v>12.387247493951687</v>
      </c>
      <c r="F100" s="56">
        <f>F109/C92*100</f>
        <v>32.456398832157348</v>
      </c>
      <c r="G100" s="56">
        <f>G109/C92*100</f>
        <v>44.497889635080718</v>
      </c>
      <c r="H100" s="58">
        <f>H109/C92*100</f>
        <v>60.553210705645263</v>
      </c>
    </row>
    <row r="101" spans="1:8" s="3" customFormat="1" ht="13.8" x14ac:dyDescent="0.3">
      <c r="A101" s="47">
        <f>A100+10</f>
        <v>385</v>
      </c>
      <c r="B101" s="56">
        <f>B110/C92*100</f>
        <v>-46.428745361216365</v>
      </c>
      <c r="C101" s="56">
        <f>C110/C92*100</f>
        <v>-38.187013878326567</v>
      </c>
      <c r="D101" s="56">
        <f>D110/C92*100</f>
        <v>3.021643536122379</v>
      </c>
      <c r="E101" s="57">
        <f>E110/C92*100</f>
        <v>15.384240760457063</v>
      </c>
      <c r="F101" s="56">
        <f>F110/C92*100</f>
        <v>35.988569467681543</v>
      </c>
      <c r="G101" s="56">
        <f>G110/C92*100</f>
        <v>48.3511666920162</v>
      </c>
      <c r="H101" s="58">
        <f>H110/C92*100</f>
        <v>64.834629657795801</v>
      </c>
    </row>
    <row r="102" spans="1:8" s="3" customFormat="1" ht="13.8" x14ac:dyDescent="0.3">
      <c r="A102" s="669" t="s">
        <v>404</v>
      </c>
      <c r="B102" s="669"/>
      <c r="C102" s="669"/>
      <c r="D102" s="669"/>
      <c r="E102" s="669"/>
      <c r="F102" s="669"/>
      <c r="G102" s="669"/>
      <c r="H102" s="669"/>
    </row>
    <row r="103" spans="1:8" s="3" customFormat="1" ht="13.8" x14ac:dyDescent="0.3">
      <c r="A103" s="43" t="s">
        <v>332</v>
      </c>
      <c r="B103" s="44">
        <f>E103-1.5</f>
        <v>1.2999999999999998</v>
      </c>
      <c r="C103" s="44">
        <v>1.5</v>
      </c>
      <c r="D103" s="44">
        <f>E103-0.3</f>
        <v>2.5</v>
      </c>
      <c r="E103" s="45">
        <f>B81</f>
        <v>2.8</v>
      </c>
      <c r="F103" s="44">
        <f>E103+0.5</f>
        <v>3.3</v>
      </c>
      <c r="G103" s="44">
        <f>E103+0.8</f>
        <v>3.5999999999999996</v>
      </c>
      <c r="H103" s="46">
        <f>E103+1.2</f>
        <v>4</v>
      </c>
    </row>
    <row r="104" spans="1:8" s="3" customFormat="1" ht="13.8" x14ac:dyDescent="0.3">
      <c r="A104" s="47">
        <f>A105-10</f>
        <v>325</v>
      </c>
      <c r="B104" s="48">
        <f>(B103*A104)-C92</f>
        <v>-511.76970000000011</v>
      </c>
      <c r="C104" s="48">
        <f>(C103*A104)-C92</f>
        <v>-446.76970000000006</v>
      </c>
      <c r="D104" s="48">
        <f>(D103*A104)-C92</f>
        <v>-121.76970000000006</v>
      </c>
      <c r="E104" s="49">
        <f>(E103*A104)-C92</f>
        <v>-24.269700000000171</v>
      </c>
      <c r="F104" s="48">
        <f>(F103*A104)-C92</f>
        <v>138.23029999999994</v>
      </c>
      <c r="G104" s="48">
        <f>(G103*A104)-C92</f>
        <v>235.73029999999972</v>
      </c>
      <c r="H104" s="50">
        <f>(H103*A104)-C92</f>
        <v>365.73029999999994</v>
      </c>
    </row>
    <row r="105" spans="1:8" s="3" customFormat="1" ht="13.8" x14ac:dyDescent="0.3">
      <c r="A105" s="47">
        <f>A106-10</f>
        <v>335</v>
      </c>
      <c r="B105" s="48">
        <f>(B103*A105)-C92</f>
        <v>-498.76970000000011</v>
      </c>
      <c r="C105" s="48">
        <f>(C103*A105)-C92</f>
        <v>-431.76970000000006</v>
      </c>
      <c r="D105" s="48">
        <f>(D103*A105)-C92</f>
        <v>-96.769700000000057</v>
      </c>
      <c r="E105" s="49">
        <f>(E103*A105)-C92</f>
        <v>3.7302999999998292</v>
      </c>
      <c r="F105" s="48">
        <f>(F103*A105)-C92</f>
        <v>171.23029999999994</v>
      </c>
      <c r="G105" s="48">
        <f>(G103*A105)-C92</f>
        <v>271.73029999999972</v>
      </c>
      <c r="H105" s="50">
        <f>(H103*A105)-C92</f>
        <v>405.73029999999994</v>
      </c>
    </row>
    <row r="106" spans="1:8" s="3" customFormat="1" ht="13.8" x14ac:dyDescent="0.3">
      <c r="A106" s="47">
        <f>A107-10</f>
        <v>345</v>
      </c>
      <c r="B106" s="48">
        <f>(A106*B103)-C92</f>
        <v>-485.76970000000011</v>
      </c>
      <c r="C106" s="48">
        <f>(C103*A106)-C92</f>
        <v>-416.76970000000006</v>
      </c>
      <c r="D106" s="48">
        <f>(D103*A106)-C92</f>
        <v>-71.769700000000057</v>
      </c>
      <c r="E106" s="49">
        <f>(E103*A106)-C92</f>
        <v>31.730299999999829</v>
      </c>
      <c r="F106" s="48">
        <f>(F103*A106)-C92</f>
        <v>204.23029999999994</v>
      </c>
      <c r="G106" s="48">
        <f>(G103*A106)-C92</f>
        <v>307.73029999999972</v>
      </c>
      <c r="H106" s="50">
        <f>(H103*A106)-C92</f>
        <v>445.73029999999994</v>
      </c>
    </row>
    <row r="107" spans="1:8" s="3" customFormat="1" ht="13.8" x14ac:dyDescent="0.3">
      <c r="A107" s="51">
        <f>B82</f>
        <v>355</v>
      </c>
      <c r="B107" s="53">
        <f>(A107*B103)-C92</f>
        <v>-472.76970000000011</v>
      </c>
      <c r="C107" s="53">
        <f>(A107*C103)-C92</f>
        <v>-401.76970000000006</v>
      </c>
      <c r="D107" s="53">
        <f>(D103*A107)-C92</f>
        <v>-46.769700000000057</v>
      </c>
      <c r="E107" s="54">
        <f>(A107*E103)-C92</f>
        <v>59.730299999999829</v>
      </c>
      <c r="F107" s="53">
        <f>(A107*F103)-C92</f>
        <v>237.23029999999994</v>
      </c>
      <c r="G107" s="53">
        <f>(G103*A107)-C92</f>
        <v>343.73029999999972</v>
      </c>
      <c r="H107" s="55">
        <f>(H103*A107)-C92</f>
        <v>485.73029999999994</v>
      </c>
    </row>
    <row r="108" spans="1:8" s="3" customFormat="1" ht="13.8" x14ac:dyDescent="0.3">
      <c r="A108" s="47">
        <f>A107+10</f>
        <v>365</v>
      </c>
      <c r="B108" s="56">
        <f>(A108*B103)-C92</f>
        <v>-459.76970000000011</v>
      </c>
      <c r="C108" s="56">
        <f>(C103*A108)-C92</f>
        <v>-386.76970000000006</v>
      </c>
      <c r="D108" s="56">
        <f>(D103*A108)-C92</f>
        <v>-21.769700000000057</v>
      </c>
      <c r="E108" s="57">
        <f>(E103*A108)-C92</f>
        <v>87.730299999999829</v>
      </c>
      <c r="F108" s="56">
        <f>(F103*A108)-C92</f>
        <v>270.23029999999994</v>
      </c>
      <c r="G108" s="56">
        <f>(G103*A108)-C92</f>
        <v>379.73029999999972</v>
      </c>
      <c r="H108" s="58">
        <f>(H103*A108)-C92</f>
        <v>525.73029999999994</v>
      </c>
    </row>
    <row r="109" spans="1:8" s="3" customFormat="1" ht="13.8" x14ac:dyDescent="0.3">
      <c r="A109" s="47">
        <f>A108+10</f>
        <v>375</v>
      </c>
      <c r="B109" s="56">
        <f>(A109*B103)-C92</f>
        <v>-446.76970000000011</v>
      </c>
      <c r="C109" s="56">
        <f>(C103*A109)-C92</f>
        <v>-371.76970000000006</v>
      </c>
      <c r="D109" s="56">
        <f>(D103*A109)-C92</f>
        <v>3.2302999999999429</v>
      </c>
      <c r="E109" s="57">
        <f>(E103*A109)-C92</f>
        <v>115.73029999999994</v>
      </c>
      <c r="F109" s="56">
        <f>(F103*A109)-C92</f>
        <v>303.23029999999994</v>
      </c>
      <c r="G109" s="56">
        <f>(G103*A109)-C92</f>
        <v>415.73029999999972</v>
      </c>
      <c r="H109" s="58">
        <f>(H103*A109)-C92</f>
        <v>565.73029999999994</v>
      </c>
    </row>
    <row r="110" spans="1:8" s="3" customFormat="1" ht="13.8" x14ac:dyDescent="0.3">
      <c r="A110" s="59">
        <f>A109+10</f>
        <v>385</v>
      </c>
      <c r="B110" s="60">
        <f>(B103*A110)-C92</f>
        <v>-433.76970000000011</v>
      </c>
      <c r="C110" s="60">
        <f>(C103*A110)-C92</f>
        <v>-356.76970000000006</v>
      </c>
      <c r="D110" s="60">
        <f>(D103*A110)-C92</f>
        <v>28.230299999999943</v>
      </c>
      <c r="E110" s="61">
        <f>(E103*A110)-C92</f>
        <v>143.73029999999994</v>
      </c>
      <c r="F110" s="60">
        <f>(F103*A110)-C92</f>
        <v>336.23029999999994</v>
      </c>
      <c r="G110" s="60">
        <f>(G103*A110)-C92</f>
        <v>451.73029999999972</v>
      </c>
      <c r="H110" s="62">
        <f>(A110*H103)-C92</f>
        <v>605.73029999999994</v>
      </c>
    </row>
  </sheetData>
  <mergeCells count="18">
    <mergeCell ref="D81:F81"/>
    <mergeCell ref="D82:F82"/>
    <mergeCell ref="A92:B92"/>
    <mergeCell ref="A93:H93"/>
    <mergeCell ref="A102:H102"/>
    <mergeCell ref="A80:C80"/>
    <mergeCell ref="C73:D73"/>
    <mergeCell ref="A1:H1"/>
    <mergeCell ref="C20:D20"/>
    <mergeCell ref="C24:D24"/>
    <mergeCell ref="C27:D27"/>
    <mergeCell ref="C30:D30"/>
    <mergeCell ref="C35:D35"/>
    <mergeCell ref="C52:D52"/>
    <mergeCell ref="C55:D55"/>
    <mergeCell ref="C65:D65"/>
    <mergeCell ref="C68:D68"/>
    <mergeCell ref="C71:D71"/>
  </mergeCells>
  <pageMargins left="0.7" right="0.7" top="0.75" bottom="0.75" header="0.51180555555555551" footer="0.51180555555555551"/>
  <pageSetup scale="50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9"/>
  <sheetViews>
    <sheetView showGridLines="0" topLeftCell="A67" zoomScale="95" zoomScaleNormal="95" workbookViewId="0">
      <selection activeCell="A67" sqref="A1:K65536"/>
    </sheetView>
  </sheetViews>
  <sheetFormatPr baseColWidth="10" defaultColWidth="10.6640625" defaultRowHeight="14.4" x14ac:dyDescent="0.3"/>
  <cols>
    <col min="1" max="1" width="34.5546875" style="1" customWidth="1"/>
    <col min="2" max="3" width="10.5546875" style="1" bestFit="1" customWidth="1"/>
    <col min="4" max="4" width="9.88671875" style="2" customWidth="1"/>
    <col min="5" max="5" width="10.44140625" style="1" customWidth="1"/>
    <col min="6" max="6" width="8.109375" style="1" bestFit="1" customWidth="1"/>
    <col min="7" max="7" width="13.44140625" style="1" customWidth="1"/>
    <col min="8" max="8" width="10.33203125" style="1" customWidth="1"/>
    <col min="9" max="16384" width="10.6640625" style="1"/>
  </cols>
  <sheetData>
    <row r="1" spans="1:10" s="3" customFormat="1" ht="21.6" thickBot="1" x14ac:dyDescent="0.45">
      <c r="A1" s="664" t="s">
        <v>479</v>
      </c>
      <c r="B1" s="665"/>
      <c r="C1" s="665"/>
      <c r="D1" s="665"/>
      <c r="E1" s="665"/>
      <c r="F1" s="665"/>
      <c r="G1" s="665"/>
      <c r="H1" s="666"/>
    </row>
    <row r="2" spans="1:10" s="3" customFormat="1" ht="13.8" x14ac:dyDescent="0.3">
      <c r="A2" s="5"/>
      <c r="B2" s="94"/>
      <c r="D2" s="17"/>
      <c r="H2" s="94"/>
    </row>
    <row r="3" spans="1:10" s="3" customFormat="1" ht="13.8" x14ac:dyDescent="0.3">
      <c r="A3" s="124" t="s">
        <v>237</v>
      </c>
      <c r="B3" s="125">
        <f>'Resumen Proy'!B22</f>
        <v>0</v>
      </c>
      <c r="D3" s="17"/>
      <c r="H3" s="94"/>
    </row>
    <row r="4" spans="1:10" s="3" customFormat="1" ht="13.8" x14ac:dyDescent="0.3">
      <c r="A4" s="205"/>
      <c r="B4" s="206"/>
      <c r="D4" s="17"/>
      <c r="H4" s="94"/>
    </row>
    <row r="5" spans="1:10" s="3" customFormat="1" ht="13.8" x14ac:dyDescent="0.3">
      <c r="A5" s="207"/>
      <c r="B5" s="8" t="s">
        <v>238</v>
      </c>
      <c r="C5" s="7" t="s">
        <v>239</v>
      </c>
      <c r="D5" s="4" t="s">
        <v>240</v>
      </c>
      <c r="E5" s="9" t="s">
        <v>183</v>
      </c>
      <c r="G5" s="9" t="s">
        <v>199</v>
      </c>
    </row>
    <row r="6" spans="1:10" s="3" customFormat="1" ht="13.8" x14ac:dyDescent="0.3">
      <c r="A6" s="207"/>
      <c r="B6" s="8"/>
      <c r="C6" s="7"/>
      <c r="D6" s="4" t="s">
        <v>245</v>
      </c>
      <c r="E6" s="9"/>
      <c r="J6" s="3" t="s">
        <v>244</v>
      </c>
    </row>
    <row r="7" spans="1:10" s="3" customFormat="1" ht="13.8" x14ac:dyDescent="0.3">
      <c r="A7" s="208" t="s">
        <v>204</v>
      </c>
      <c r="B7" s="11"/>
      <c r="C7" s="12"/>
      <c r="D7" s="13"/>
      <c r="E7" s="14"/>
      <c r="F7" s="15"/>
      <c r="J7" s="19"/>
    </row>
    <row r="8" spans="1:10" s="3" customFormat="1" ht="13.8" x14ac:dyDescent="0.3">
      <c r="A8" s="209" t="s">
        <v>246</v>
      </c>
      <c r="B8" s="169">
        <v>0</v>
      </c>
      <c r="C8" s="18" t="s">
        <v>247</v>
      </c>
      <c r="D8" s="117">
        <f>Cotizaciones!F8</f>
        <v>0</v>
      </c>
      <c r="E8" s="216">
        <f t="shared" ref="E8:E18" si="0">B8*D8</f>
        <v>0</v>
      </c>
      <c r="J8" s="19" t="s">
        <v>249</v>
      </c>
    </row>
    <row r="9" spans="1:10" s="3" customFormat="1" ht="13.8" x14ac:dyDescent="0.3">
      <c r="A9" s="209" t="s">
        <v>250</v>
      </c>
      <c r="B9" s="169">
        <v>0.3</v>
      </c>
      <c r="C9" s="18" t="s">
        <v>247</v>
      </c>
      <c r="D9" s="117">
        <f>Cotizaciones!F18</f>
        <v>17</v>
      </c>
      <c r="E9" s="216">
        <f t="shared" si="0"/>
        <v>5.0999999999999996</v>
      </c>
      <c r="J9" s="19" t="s">
        <v>249</v>
      </c>
    </row>
    <row r="10" spans="1:10" s="3" customFormat="1" ht="13.8" x14ac:dyDescent="0.3">
      <c r="A10" s="209" t="s">
        <v>251</v>
      </c>
      <c r="B10" s="169">
        <v>1</v>
      </c>
      <c r="C10" s="18" t="s">
        <v>247</v>
      </c>
      <c r="D10" s="117">
        <f>Cotizaciones!F17</f>
        <v>5</v>
      </c>
      <c r="E10" s="117">
        <f t="shared" si="0"/>
        <v>5</v>
      </c>
      <c r="G10" s="93">
        <v>41030</v>
      </c>
      <c r="J10" s="19" t="s">
        <v>249</v>
      </c>
    </row>
    <row r="11" spans="1:10" s="3" customFormat="1" ht="13.8" x14ac:dyDescent="0.3">
      <c r="A11" s="209" t="s">
        <v>252</v>
      </c>
      <c r="B11" s="169">
        <v>1</v>
      </c>
      <c r="C11" s="18" t="s">
        <v>247</v>
      </c>
      <c r="D11" s="117">
        <f>Cotizaciones!F21</f>
        <v>42</v>
      </c>
      <c r="E11" s="117">
        <f t="shared" si="0"/>
        <v>42</v>
      </c>
      <c r="G11" s="3" t="s">
        <v>362</v>
      </c>
      <c r="J11" s="19" t="s">
        <v>336</v>
      </c>
    </row>
    <row r="12" spans="1:10" s="3" customFormat="1" ht="13.8" x14ac:dyDescent="0.3">
      <c r="A12" s="209" t="s">
        <v>254</v>
      </c>
      <c r="B12" s="169">
        <v>1</v>
      </c>
      <c r="C12" s="18" t="s">
        <v>247</v>
      </c>
      <c r="D12" s="117">
        <f>Cotizaciones!F17</f>
        <v>5</v>
      </c>
      <c r="E12" s="117">
        <f t="shared" si="0"/>
        <v>5</v>
      </c>
      <c r="G12" s="93">
        <v>41091</v>
      </c>
      <c r="J12" s="19" t="s">
        <v>256</v>
      </c>
    </row>
    <row r="13" spans="1:10" s="3" customFormat="1" ht="13.8" x14ac:dyDescent="0.3">
      <c r="A13" s="209" t="s">
        <v>257</v>
      </c>
      <c r="B13" s="169">
        <v>0.5</v>
      </c>
      <c r="C13" s="18" t="s">
        <v>247</v>
      </c>
      <c r="D13" s="117">
        <f>Cotizaciones!F17</f>
        <v>5</v>
      </c>
      <c r="E13" s="117">
        <f t="shared" si="0"/>
        <v>2.5</v>
      </c>
      <c r="G13" s="93">
        <v>41091</v>
      </c>
      <c r="J13" s="19" t="s">
        <v>256</v>
      </c>
    </row>
    <row r="14" spans="1:10" s="3" customFormat="1" ht="13.8" x14ac:dyDescent="0.3">
      <c r="A14" s="209" t="s">
        <v>258</v>
      </c>
      <c r="B14" s="169">
        <v>1</v>
      </c>
      <c r="C14" s="18" t="s">
        <v>247</v>
      </c>
      <c r="D14" s="117">
        <f>Cotizaciones!F10</f>
        <v>0</v>
      </c>
      <c r="E14" s="117">
        <f t="shared" si="0"/>
        <v>0</v>
      </c>
      <c r="G14" s="93">
        <v>41061</v>
      </c>
      <c r="H14" s="93">
        <v>41122</v>
      </c>
      <c r="J14" s="19" t="s">
        <v>363</v>
      </c>
    </row>
    <row r="15" spans="1:10" s="3" customFormat="1" ht="13.8" x14ac:dyDescent="0.3">
      <c r="A15" s="209" t="s">
        <v>364</v>
      </c>
      <c r="B15" s="169">
        <v>1</v>
      </c>
      <c r="C15" s="18" t="s">
        <v>247</v>
      </c>
      <c r="D15" s="117">
        <f>Cotizaciones!F17</f>
        <v>5</v>
      </c>
      <c r="E15" s="117">
        <f t="shared" si="0"/>
        <v>5</v>
      </c>
      <c r="G15" s="93">
        <v>41184</v>
      </c>
      <c r="J15" s="19" t="s">
        <v>276</v>
      </c>
    </row>
    <row r="16" spans="1:10" s="3" customFormat="1" ht="13.8" x14ac:dyDescent="0.3">
      <c r="A16" s="209" t="s">
        <v>262</v>
      </c>
      <c r="B16" s="169">
        <v>1</v>
      </c>
      <c r="C16" s="18" t="s">
        <v>247</v>
      </c>
      <c r="D16" s="117">
        <f>Cotizaciones!F15</f>
        <v>1</v>
      </c>
      <c r="E16" s="117">
        <f t="shared" si="0"/>
        <v>1</v>
      </c>
      <c r="G16" s="93">
        <f>+G10</f>
        <v>41030</v>
      </c>
      <c r="J16" s="19" t="s">
        <v>249</v>
      </c>
    </row>
    <row r="17" spans="1:10" s="3" customFormat="1" ht="13.8" x14ac:dyDescent="0.3">
      <c r="A17" s="209" t="s">
        <v>263</v>
      </c>
      <c r="B17" s="169">
        <v>1</v>
      </c>
      <c r="C17" s="18" t="s">
        <v>247</v>
      </c>
      <c r="D17" s="117">
        <f>Cotizaciones!F5</f>
        <v>0</v>
      </c>
      <c r="E17" s="117">
        <f t="shared" si="0"/>
        <v>0</v>
      </c>
      <c r="G17" s="93">
        <f>+G10</f>
        <v>41030</v>
      </c>
      <c r="J17" s="19" t="s">
        <v>249</v>
      </c>
    </row>
    <row r="18" spans="1:10" s="3" customFormat="1" ht="13.8" x14ac:dyDescent="0.3">
      <c r="A18" s="209" t="s">
        <v>264</v>
      </c>
      <c r="B18" s="169">
        <v>0</v>
      </c>
      <c r="C18" s="18" t="s">
        <v>247</v>
      </c>
      <c r="D18" s="117">
        <f>Cotizaciones!F13</f>
        <v>0</v>
      </c>
      <c r="E18" s="117">
        <f t="shared" si="0"/>
        <v>0</v>
      </c>
      <c r="J18" s="19"/>
    </row>
    <row r="19" spans="1:10" s="3" customFormat="1" ht="13.8" x14ac:dyDescent="0.3">
      <c r="A19" s="209" t="s">
        <v>32</v>
      </c>
      <c r="B19" s="169">
        <v>0</v>
      </c>
      <c r="C19" s="18" t="s">
        <v>247</v>
      </c>
      <c r="D19" s="117">
        <f>Cotizaciones!F12</f>
        <v>0</v>
      </c>
      <c r="E19" s="117">
        <f>B19*D19</f>
        <v>0</v>
      </c>
      <c r="J19" s="19" t="s">
        <v>249</v>
      </c>
    </row>
    <row r="20" spans="1:10" s="3" customFormat="1" ht="15" customHeight="1" x14ac:dyDescent="0.3">
      <c r="A20" s="210"/>
      <c r="B20" s="20"/>
      <c r="C20" s="667" t="s">
        <v>265</v>
      </c>
      <c r="D20" s="667"/>
      <c r="E20" s="141">
        <f>SUM(E8:E19)</f>
        <v>65.599999999999994</v>
      </c>
      <c r="F20" s="22">
        <f>E20/E67</f>
        <v>9.0792234911067554E-2</v>
      </c>
      <c r="G20" s="32">
        <f>E20*D1</f>
        <v>0</v>
      </c>
    </row>
    <row r="21" spans="1:10" s="3" customFormat="1" ht="13.8" x14ac:dyDescent="0.3">
      <c r="A21" s="208" t="s">
        <v>205</v>
      </c>
      <c r="B21" s="23"/>
      <c r="C21" s="12"/>
      <c r="D21" s="24"/>
      <c r="E21" s="25"/>
      <c r="F21" s="15"/>
    </row>
    <row r="22" spans="1:10" s="3" customFormat="1" ht="13.8" x14ac:dyDescent="0.3">
      <c r="A22" s="211"/>
      <c r="B22" s="27"/>
      <c r="C22" s="18"/>
      <c r="D22" s="28"/>
      <c r="E22" s="29"/>
    </row>
    <row r="23" spans="1:10" s="3" customFormat="1" ht="13.8" x14ac:dyDescent="0.3">
      <c r="A23" s="212" t="s">
        <v>365</v>
      </c>
      <c r="B23" s="169">
        <v>150</v>
      </c>
      <c r="C23" s="18" t="s">
        <v>350</v>
      </c>
      <c r="D23" s="161">
        <f>Cotizaciones!E47/1000</f>
        <v>5.2500000000000008E-4</v>
      </c>
      <c r="E23" s="217">
        <f>B23*D23</f>
        <v>7.8750000000000014E-2</v>
      </c>
      <c r="G23" s="3" t="str">
        <f>+A11</f>
        <v xml:space="preserve">Siembra </v>
      </c>
      <c r="J23" s="3" t="s">
        <v>336</v>
      </c>
    </row>
    <row r="24" spans="1:10" s="3" customFormat="1" ht="13.8" x14ac:dyDescent="0.3">
      <c r="A24" s="212"/>
      <c r="B24" s="18"/>
      <c r="C24" s="667" t="s">
        <v>270</v>
      </c>
      <c r="D24" s="667"/>
      <c r="E24" s="141">
        <f>SUM(E23:E23)</f>
        <v>7.8750000000000014E-2</v>
      </c>
      <c r="F24" s="22">
        <f>E24/E67</f>
        <v>1.0899220273241726E-4</v>
      </c>
      <c r="G24" s="32">
        <f>E24*D1</f>
        <v>0</v>
      </c>
    </row>
    <row r="25" spans="1:10" s="3" customFormat="1" ht="13.8" x14ac:dyDescent="0.3">
      <c r="A25" s="212"/>
      <c r="B25" s="87"/>
      <c r="C25" s="18"/>
      <c r="D25" s="28"/>
      <c r="E25" s="29"/>
      <c r="G25" s="38"/>
    </row>
    <row r="26" spans="1:10" s="3" customFormat="1" ht="13.8" x14ac:dyDescent="0.3">
      <c r="A26" s="208" t="s">
        <v>206</v>
      </c>
      <c r="B26" s="11">
        <v>1</v>
      </c>
      <c r="C26" s="12" t="s">
        <v>247</v>
      </c>
      <c r="D26" s="86">
        <f>'Resumen Proy'!D22</f>
        <v>224</v>
      </c>
      <c r="E26" s="64">
        <f>B26*D26</f>
        <v>224</v>
      </c>
      <c r="F26" s="15"/>
    </row>
    <row r="27" spans="1:10" s="3" customFormat="1" ht="13.8" x14ac:dyDescent="0.3">
      <c r="A27" s="212"/>
      <c r="B27" s="87"/>
      <c r="C27" s="754" t="s">
        <v>271</v>
      </c>
      <c r="D27" s="754"/>
      <c r="E27" s="176">
        <f>E26</f>
        <v>224</v>
      </c>
      <c r="F27" s="22">
        <f>E27/E67</f>
        <v>0.3100222655499868</v>
      </c>
      <c r="G27" s="32">
        <f>E27*D1</f>
        <v>0</v>
      </c>
    </row>
    <row r="28" spans="1:10" s="3" customFormat="1" ht="13.8" x14ac:dyDescent="0.3">
      <c r="A28" s="212"/>
      <c r="B28" s="87"/>
      <c r="C28" s="18"/>
      <c r="D28" s="28"/>
      <c r="E28" s="29"/>
    </row>
    <row r="29" spans="1:10" s="3" customFormat="1" ht="13.8" x14ac:dyDescent="0.3">
      <c r="A29" s="208" t="s">
        <v>207</v>
      </c>
      <c r="B29" s="281">
        <v>20</v>
      </c>
      <c r="C29" s="12" t="s">
        <v>272</v>
      </c>
      <c r="D29" s="173">
        <f>B29</f>
        <v>20</v>
      </c>
      <c r="E29" s="174">
        <f>D29</f>
        <v>20</v>
      </c>
      <c r="F29" s="15"/>
    </row>
    <row r="30" spans="1:10" s="3" customFormat="1" ht="13.8" x14ac:dyDescent="0.3">
      <c r="A30" s="212"/>
      <c r="B30" s="87"/>
      <c r="C30" s="667" t="s">
        <v>273</v>
      </c>
      <c r="D30" s="667"/>
      <c r="E30" s="141">
        <f>E29</f>
        <v>20</v>
      </c>
      <c r="F30" s="22">
        <f>E30/E67</f>
        <v>2.7680559424105963E-2</v>
      </c>
      <c r="G30" s="32">
        <f>E30*D1</f>
        <v>0</v>
      </c>
    </row>
    <row r="31" spans="1:10" s="3" customFormat="1" ht="13.8" x14ac:dyDescent="0.3">
      <c r="A31" s="212"/>
      <c r="B31" s="87"/>
      <c r="C31" s="7"/>
      <c r="D31" s="7"/>
      <c r="E31" s="33"/>
    </row>
    <row r="32" spans="1:10" s="3" customFormat="1" ht="13.8" x14ac:dyDescent="0.3">
      <c r="A32" s="208" t="s">
        <v>140</v>
      </c>
      <c r="B32" s="11"/>
      <c r="C32" s="12"/>
      <c r="D32" s="24"/>
      <c r="E32" s="25"/>
      <c r="F32" s="15"/>
    </row>
    <row r="33" spans="1:10" s="3" customFormat="1" ht="13.8" x14ac:dyDescent="0.3">
      <c r="A33" s="212" t="s">
        <v>366</v>
      </c>
      <c r="B33" s="170">
        <v>0.08</v>
      </c>
      <c r="C33" s="18" t="s">
        <v>275</v>
      </c>
      <c r="D33" s="161">
        <f>Cotizaciones!I25+Cotizaciones!F26</f>
        <v>1025</v>
      </c>
      <c r="E33" s="146">
        <f>B33*D33</f>
        <v>82</v>
      </c>
      <c r="G33" s="219" t="str">
        <f>+G23</f>
        <v xml:space="preserve">Siembra </v>
      </c>
      <c r="J33" s="3" t="s">
        <v>336</v>
      </c>
    </row>
    <row r="34" spans="1:10" s="3" customFormat="1" ht="13.8" x14ac:dyDescent="0.3">
      <c r="A34" s="212" t="s">
        <v>367</v>
      </c>
      <c r="B34" s="170">
        <v>0.15</v>
      </c>
      <c r="C34" s="18" t="s">
        <v>275</v>
      </c>
      <c r="D34" s="161">
        <f>Cotizaciones!I34+Cotizaciones!F26</f>
        <v>645</v>
      </c>
      <c r="E34" s="146">
        <f>B34*D34</f>
        <v>96.75</v>
      </c>
      <c r="G34" s="93">
        <f>+G14</f>
        <v>41061</v>
      </c>
      <c r="H34" s="93"/>
      <c r="J34" s="3" t="s">
        <v>336</v>
      </c>
    </row>
    <row r="35" spans="1:10" s="3" customFormat="1" ht="13.8" x14ac:dyDescent="0.3">
      <c r="A35" s="212"/>
      <c r="B35" s="18"/>
      <c r="C35" s="667" t="s">
        <v>280</v>
      </c>
      <c r="D35" s="667"/>
      <c r="E35" s="176">
        <f>SUM(E33:E34)</f>
        <v>178.75</v>
      </c>
      <c r="F35" s="22">
        <f>E35/E67</f>
        <v>0.24739499985294705</v>
      </c>
      <c r="G35" s="32">
        <f>E35*D1</f>
        <v>0</v>
      </c>
    </row>
    <row r="36" spans="1:10" s="3" customFormat="1" ht="13.8" x14ac:dyDescent="0.3">
      <c r="A36" s="208" t="s">
        <v>118</v>
      </c>
      <c r="B36" s="12"/>
      <c r="C36" s="67"/>
      <c r="D36" s="67"/>
      <c r="E36" s="68"/>
      <c r="F36" s="15"/>
    </row>
    <row r="37" spans="1:10" s="3" customFormat="1" ht="13.8" x14ac:dyDescent="0.3">
      <c r="A37" s="212" t="s">
        <v>122</v>
      </c>
      <c r="B37" s="169">
        <v>0</v>
      </c>
      <c r="C37" s="18" t="s">
        <v>283</v>
      </c>
      <c r="D37" s="117">
        <f>Cotizaciones!I22</f>
        <v>80</v>
      </c>
      <c r="E37" s="117">
        <f>B37*D37</f>
        <v>0</v>
      </c>
      <c r="G37" s="3" t="str">
        <f>+G33</f>
        <v xml:space="preserve">Siembra </v>
      </c>
      <c r="J37" s="3" t="s">
        <v>249</v>
      </c>
    </row>
    <row r="38" spans="1:10" s="3" customFormat="1" ht="13.8" x14ac:dyDescent="0.3">
      <c r="A38" s="212" t="s">
        <v>124</v>
      </c>
      <c r="B38" s="171">
        <v>0.2</v>
      </c>
      <c r="C38" s="18" t="s">
        <v>283</v>
      </c>
      <c r="D38" s="117">
        <f>Cotizaciones!I21</f>
        <v>12</v>
      </c>
      <c r="E38" s="117">
        <f>B38*D38</f>
        <v>2.4000000000000004</v>
      </c>
      <c r="G38" s="3" t="str">
        <f>+A10</f>
        <v>Barbecho Quimico</v>
      </c>
      <c r="I38" s="3" t="str">
        <f>+A12</f>
        <v>Pulverizacion Post-emergente</v>
      </c>
      <c r="J38" s="3" t="s">
        <v>249</v>
      </c>
    </row>
    <row r="39" spans="1:10" s="3" customFormat="1" ht="13.8" x14ac:dyDescent="0.3">
      <c r="A39" s="212" t="s">
        <v>68</v>
      </c>
      <c r="B39" s="171">
        <v>3</v>
      </c>
      <c r="C39" s="18" t="s">
        <v>283</v>
      </c>
      <c r="D39" s="117">
        <f>Cotizaciones!I28</f>
        <v>4.5</v>
      </c>
      <c r="E39" s="117">
        <f>B39*D39</f>
        <v>13.5</v>
      </c>
      <c r="G39" s="3" t="str">
        <f>+A10</f>
        <v>Barbecho Quimico</v>
      </c>
      <c r="J39" s="3" t="s">
        <v>249</v>
      </c>
    </row>
    <row r="40" spans="1:10" s="3" customFormat="1" ht="13.8" x14ac:dyDescent="0.3">
      <c r="A40" s="212" t="s">
        <v>7</v>
      </c>
      <c r="B40" s="171">
        <v>0.5</v>
      </c>
      <c r="C40" s="18" t="s">
        <v>283</v>
      </c>
      <c r="D40" s="117">
        <f>Cotizaciones!I5</f>
        <v>4.5999999999999996</v>
      </c>
      <c r="E40" s="117">
        <f>B40*D40</f>
        <v>2.2999999999999998</v>
      </c>
      <c r="G40" s="3" t="str">
        <f>+G39</f>
        <v>Barbecho Quimico</v>
      </c>
      <c r="J40" s="3" t="s">
        <v>249</v>
      </c>
    </row>
    <row r="41" spans="1:10" s="3" customFormat="1" ht="13.8" x14ac:dyDescent="0.3">
      <c r="A41" s="212" t="s">
        <v>29</v>
      </c>
      <c r="B41" s="171">
        <v>0.30000000000000004</v>
      </c>
      <c r="C41" s="18" t="s">
        <v>283</v>
      </c>
      <c r="D41" s="117">
        <f>Cotizaciones!I11</f>
        <v>39</v>
      </c>
      <c r="E41" s="117">
        <f>B41*D41</f>
        <v>11.700000000000001</v>
      </c>
      <c r="G41" s="3" t="str">
        <f>+A13</f>
        <v>Pulverización graminicidas</v>
      </c>
      <c r="J41" s="3" t="s">
        <v>256</v>
      </c>
    </row>
    <row r="42" spans="1:10" s="3" customFormat="1" ht="13.8" x14ac:dyDescent="0.3">
      <c r="A42" s="212" t="s">
        <v>480</v>
      </c>
      <c r="B42" s="171">
        <v>0.75</v>
      </c>
      <c r="C42" s="18" t="s">
        <v>283</v>
      </c>
      <c r="D42" s="117">
        <f>Cotizaciones!I8</f>
        <v>20</v>
      </c>
      <c r="E42" s="146">
        <f>D42*B42</f>
        <v>15</v>
      </c>
      <c r="G42" s="3" t="str">
        <f>+A15</f>
        <v>Aplicación terrestre Fungicida/Insecticida</v>
      </c>
      <c r="J42" s="3" t="s">
        <v>481</v>
      </c>
    </row>
    <row r="43" spans="1:10" s="3" customFormat="1" ht="13.8" x14ac:dyDescent="0.3">
      <c r="A43" s="212" t="s">
        <v>134</v>
      </c>
      <c r="B43" s="171">
        <v>0.04</v>
      </c>
      <c r="C43" s="18" t="s">
        <v>368</v>
      </c>
      <c r="D43" s="117">
        <f>Cotizaciones!I37</f>
        <v>35</v>
      </c>
      <c r="E43" s="117">
        <f>B43*D43</f>
        <v>1.4000000000000001</v>
      </c>
      <c r="G43" s="3" t="str">
        <f>+G38</f>
        <v>Barbecho Quimico</v>
      </c>
      <c r="J43" s="3" t="s">
        <v>249</v>
      </c>
    </row>
    <row r="44" spans="1:10" s="3" customFormat="1" ht="13.8" x14ac:dyDescent="0.3">
      <c r="A44" s="212" t="s">
        <v>87</v>
      </c>
      <c r="B44" s="171">
        <v>0.05</v>
      </c>
      <c r="C44" s="18" t="s">
        <v>283</v>
      </c>
      <c r="D44" s="117">
        <f>Cotizaciones!I38</f>
        <v>125</v>
      </c>
      <c r="E44" s="117">
        <f>B44*D44</f>
        <v>6.25</v>
      </c>
      <c r="G44" s="3" t="str">
        <f>+I38</f>
        <v>Pulverizacion Post-emergente</v>
      </c>
      <c r="J44" s="3" t="s">
        <v>256</v>
      </c>
    </row>
    <row r="45" spans="1:10" s="3" customFormat="1" ht="13.8" x14ac:dyDescent="0.3">
      <c r="A45" s="212" t="s">
        <v>51</v>
      </c>
      <c r="B45" s="171">
        <v>0.45</v>
      </c>
      <c r="C45" s="18" t="s">
        <v>283</v>
      </c>
      <c r="D45" s="117">
        <f>Cotizaciones!I19</f>
        <v>7</v>
      </c>
      <c r="E45" s="117">
        <f>B45*D45</f>
        <v>3.15</v>
      </c>
      <c r="G45" s="3" t="str">
        <f>+G42</f>
        <v>Aplicación terrestre Fungicida/Insecticida</v>
      </c>
      <c r="J45" s="3" t="s">
        <v>256</v>
      </c>
    </row>
    <row r="46" spans="1:10" s="3" customFormat="1" ht="13.8" x14ac:dyDescent="0.3">
      <c r="A46" s="212"/>
      <c r="B46" s="18"/>
      <c r="C46" s="667" t="s">
        <v>288</v>
      </c>
      <c r="D46" s="667"/>
      <c r="E46" s="176">
        <f>SUM(E37:E45)</f>
        <v>55.699999999999996</v>
      </c>
      <c r="F46" s="22">
        <f>E46/E67</f>
        <v>7.7090357996135103E-2</v>
      </c>
      <c r="G46" s="32">
        <f>E46*D1</f>
        <v>0</v>
      </c>
    </row>
    <row r="47" spans="1:10" s="3" customFormat="1" ht="13.8" x14ac:dyDescent="0.3">
      <c r="A47" s="212"/>
      <c r="B47" s="87"/>
      <c r="C47" s="18"/>
      <c r="D47" s="28"/>
      <c r="E47" s="29"/>
    </row>
    <row r="48" spans="1:10" s="3" customFormat="1" ht="13.8" x14ac:dyDescent="0.3">
      <c r="A48" s="208" t="s">
        <v>289</v>
      </c>
      <c r="B48" s="214">
        <v>1</v>
      </c>
      <c r="C48" s="12" t="s">
        <v>290</v>
      </c>
      <c r="D48" s="258">
        <v>60</v>
      </c>
      <c r="E48" s="174">
        <f>+D48*B48</f>
        <v>60</v>
      </c>
      <c r="F48" s="15"/>
    </row>
    <row r="49" spans="1:6" s="3" customFormat="1" ht="13.8" x14ac:dyDescent="0.3">
      <c r="A49" s="213"/>
      <c r="B49" s="180"/>
      <c r="C49" s="667" t="s">
        <v>291</v>
      </c>
      <c r="D49" s="667"/>
      <c r="E49" s="176">
        <f>E48</f>
        <v>60</v>
      </c>
      <c r="F49" s="22">
        <f>E49/E67</f>
        <v>8.3041678272317884E-2</v>
      </c>
    </row>
    <row r="50" spans="1:6" s="3" customFormat="1" ht="13.8" x14ac:dyDescent="0.3">
      <c r="A50" s="208" t="s">
        <v>300</v>
      </c>
      <c r="B50" s="214"/>
      <c r="C50" s="12"/>
      <c r="D50" s="24"/>
      <c r="E50" s="25"/>
      <c r="F50" s="15"/>
    </row>
    <row r="51" spans="1:6" s="3" customFormat="1" ht="13.8" x14ac:dyDescent="0.3">
      <c r="A51" s="35" t="s">
        <v>301</v>
      </c>
      <c r="B51" s="167">
        <v>0</v>
      </c>
      <c r="C51" s="18" t="s">
        <v>302</v>
      </c>
      <c r="D51" s="145">
        <f>Cotizaciones!F24</f>
        <v>3.3</v>
      </c>
      <c r="E51" s="146">
        <f>D51*B51*B70</f>
        <v>0</v>
      </c>
    </row>
    <row r="52" spans="1:6" s="3" customFormat="1" ht="13.8" x14ac:dyDescent="0.3">
      <c r="A52" s="35" t="s">
        <v>303</v>
      </c>
      <c r="B52" s="167">
        <v>0</v>
      </c>
      <c r="C52" s="18" t="s">
        <v>304</v>
      </c>
      <c r="D52" s="145">
        <f>Cotizaciones!I40/180</f>
        <v>2.1111111111111112</v>
      </c>
      <c r="E52" s="146">
        <f>D52*B52*B70</f>
        <v>0</v>
      </c>
    </row>
    <row r="53" spans="1:6" s="3" customFormat="1" ht="13.8" x14ac:dyDescent="0.3">
      <c r="A53" s="213" t="s">
        <v>305</v>
      </c>
      <c r="B53" s="181">
        <v>0</v>
      </c>
      <c r="C53" s="18" t="s">
        <v>371</v>
      </c>
      <c r="D53" s="117">
        <f>Cotizaciones!F28</f>
        <v>3</v>
      </c>
      <c r="E53" s="117">
        <f>+D53*B53*B71</f>
        <v>0</v>
      </c>
    </row>
    <row r="54" spans="1:6" s="3" customFormat="1" ht="13.8" x14ac:dyDescent="0.3">
      <c r="A54" s="213" t="s">
        <v>306</v>
      </c>
      <c r="B54" s="181">
        <v>0.4</v>
      </c>
      <c r="C54" s="18" t="s">
        <v>371</v>
      </c>
      <c r="D54" s="117">
        <f>Cotizaciones!F35</f>
        <v>5</v>
      </c>
      <c r="E54" s="117">
        <f>+D54*B54*B71</f>
        <v>8</v>
      </c>
    </row>
    <row r="55" spans="1:6" s="3" customFormat="1" ht="13.8" x14ac:dyDescent="0.3">
      <c r="A55" s="213" t="s">
        <v>83</v>
      </c>
      <c r="B55" s="181">
        <v>0.4</v>
      </c>
      <c r="C55" s="18" t="s">
        <v>371</v>
      </c>
      <c r="D55" s="117">
        <f>Cotizaciones!F36</f>
        <v>6.5</v>
      </c>
      <c r="E55" s="117">
        <f>+D55*B55*B71</f>
        <v>10.4</v>
      </c>
    </row>
    <row r="56" spans="1:6" s="3" customFormat="1" ht="13.8" x14ac:dyDescent="0.3">
      <c r="A56" s="213" t="s">
        <v>307</v>
      </c>
      <c r="B56" s="181">
        <v>0.4</v>
      </c>
      <c r="C56" s="18" t="s">
        <v>371</v>
      </c>
      <c r="D56" s="117">
        <f>Cotizaciones!F5</f>
        <v>0</v>
      </c>
      <c r="E56" s="117">
        <f>+D56*B56*$B$71</f>
        <v>0</v>
      </c>
    </row>
    <row r="57" spans="1:6" s="3" customFormat="1" ht="13.8" x14ac:dyDescent="0.3">
      <c r="A57" s="213" t="s">
        <v>308</v>
      </c>
      <c r="B57" s="181">
        <v>1</v>
      </c>
      <c r="C57" s="18" t="s">
        <v>371</v>
      </c>
      <c r="D57" s="117">
        <f>Cotizaciones!F25</f>
        <v>20</v>
      </c>
      <c r="E57" s="117">
        <f>B57*D57*B71</f>
        <v>80</v>
      </c>
    </row>
    <row r="58" spans="1:6" s="3" customFormat="1" ht="13.8" x14ac:dyDescent="0.3">
      <c r="A58" s="213" t="s">
        <v>309</v>
      </c>
      <c r="B58" s="181">
        <v>0</v>
      </c>
      <c r="C58" s="18" t="s">
        <v>295</v>
      </c>
      <c r="D58" s="146">
        <f>B58%*B74</f>
        <v>0</v>
      </c>
      <c r="E58" s="117">
        <f>B71*B72*B58%</f>
        <v>0</v>
      </c>
    </row>
    <row r="59" spans="1:6" s="3" customFormat="1" ht="13.8" x14ac:dyDescent="0.3">
      <c r="A59" s="213"/>
      <c r="B59" s="215"/>
      <c r="C59" s="667" t="s">
        <v>310</v>
      </c>
      <c r="D59" s="667"/>
      <c r="E59" s="176">
        <f>SUM(E53:E58)</f>
        <v>98.4</v>
      </c>
      <c r="F59" s="22">
        <f>E59/E67</f>
        <v>0.13618835236660135</v>
      </c>
    </row>
    <row r="60" spans="1:6" s="3" customFormat="1" ht="13.8" x14ac:dyDescent="0.3">
      <c r="A60" s="213"/>
      <c r="B60" s="180"/>
      <c r="C60" s="18"/>
      <c r="D60" s="28"/>
      <c r="E60" s="29"/>
    </row>
    <row r="61" spans="1:6" s="3" customFormat="1" ht="13.8" x14ac:dyDescent="0.3">
      <c r="A61" s="208" t="s">
        <v>292</v>
      </c>
      <c r="B61" s="281">
        <v>20</v>
      </c>
      <c r="C61" s="12" t="s">
        <v>272</v>
      </c>
      <c r="D61" s="173">
        <f>B61</f>
        <v>20</v>
      </c>
      <c r="E61" s="174">
        <f>D61</f>
        <v>20</v>
      </c>
      <c r="F61" s="15"/>
    </row>
    <row r="62" spans="1:6" s="3" customFormat="1" ht="13.8" x14ac:dyDescent="0.3">
      <c r="A62" s="213"/>
      <c r="B62" s="180"/>
      <c r="C62" s="667" t="s">
        <v>293</v>
      </c>
      <c r="D62" s="667"/>
      <c r="E62" s="176">
        <f>E61</f>
        <v>20</v>
      </c>
      <c r="F62" s="22">
        <f>E62/E67</f>
        <v>2.7680559424105963E-2</v>
      </c>
    </row>
    <row r="63" spans="1:6" s="3" customFormat="1" ht="13.8" x14ac:dyDescent="0.3">
      <c r="A63" s="213"/>
      <c r="B63" s="180"/>
      <c r="C63" s="7"/>
      <c r="D63" s="7"/>
      <c r="E63" s="38"/>
    </row>
    <row r="64" spans="1:6" s="3" customFormat="1" ht="13.8" x14ac:dyDescent="0.3">
      <c r="A64" s="208" t="s">
        <v>294</v>
      </c>
      <c r="B64" s="214">
        <v>0</v>
      </c>
      <c r="C64" s="12" t="s">
        <v>295</v>
      </c>
      <c r="D64" s="218">
        <v>0</v>
      </c>
      <c r="E64" s="175">
        <v>0</v>
      </c>
      <c r="F64" s="15"/>
    </row>
    <row r="65" spans="1:9" s="3" customFormat="1" ht="13.8" x14ac:dyDescent="0.3">
      <c r="A65" s="30"/>
      <c r="B65" s="87"/>
      <c r="C65" s="667" t="s">
        <v>296</v>
      </c>
      <c r="D65" s="667"/>
      <c r="E65" s="176">
        <f>E64</f>
        <v>0</v>
      </c>
      <c r="F65" s="22">
        <f>E65/E67</f>
        <v>0</v>
      </c>
    </row>
    <row r="66" spans="1:9" s="3" customFormat="1" ht="13.8" x14ac:dyDescent="0.3">
      <c r="A66" s="30"/>
      <c r="B66" s="87"/>
      <c r="C66" s="7"/>
      <c r="D66" s="7"/>
      <c r="E66" s="38"/>
    </row>
    <row r="67" spans="1:9" s="3" customFormat="1" ht="13.8" x14ac:dyDescent="0.3">
      <c r="A67" s="72"/>
      <c r="B67" s="73"/>
      <c r="C67" s="759" t="s">
        <v>317</v>
      </c>
      <c r="D67" s="759"/>
      <c r="E67" s="220">
        <f>E20+E24+E27+E30+E35+E46+E49+E59+E62+E65</f>
        <v>722.52874999999995</v>
      </c>
      <c r="F67" s="75">
        <f>F65+F62+F59+F49+F46+F35+F30+F27+F24+F20</f>
        <v>1</v>
      </c>
    </row>
    <row r="68" spans="1:9" s="3" customFormat="1" ht="13.8" x14ac:dyDescent="0.3">
      <c r="A68" s="30"/>
      <c r="B68" s="30"/>
      <c r="C68" s="18"/>
      <c r="D68" s="28"/>
      <c r="E68" s="18"/>
    </row>
    <row r="69" spans="1:9" s="3" customFormat="1" ht="13.8" x14ac:dyDescent="0.3">
      <c r="D69" s="28"/>
      <c r="E69" s="18"/>
    </row>
    <row r="70" spans="1:9" s="3" customFormat="1" thickBot="1" x14ac:dyDescent="0.35">
      <c r="D70" s="28"/>
      <c r="E70" s="39"/>
    </row>
    <row r="71" spans="1:9" s="3" customFormat="1" ht="13.8" x14ac:dyDescent="0.3">
      <c r="A71" s="193" t="s">
        <v>315</v>
      </c>
      <c r="B71" s="265">
        <v>4</v>
      </c>
      <c r="C71" s="194" t="s">
        <v>316</v>
      </c>
      <c r="D71" s="769"/>
      <c r="E71" s="769"/>
      <c r="F71" s="769"/>
      <c r="G71" s="750" t="s">
        <v>482</v>
      </c>
      <c r="H71" s="733"/>
      <c r="I71" s="734"/>
    </row>
    <row r="72" spans="1:9" s="3" customFormat="1" thickBot="1" x14ac:dyDescent="0.35">
      <c r="A72" s="190" t="s">
        <v>341</v>
      </c>
      <c r="B72" s="195">
        <f>Cotizaciones!B15</f>
        <v>230</v>
      </c>
      <c r="C72" s="196" t="s">
        <v>21</v>
      </c>
      <c r="D72" s="769"/>
      <c r="E72" s="769"/>
      <c r="F72" s="769"/>
      <c r="G72" s="751"/>
      <c r="H72" s="735"/>
      <c r="I72" s="736"/>
    </row>
    <row r="73" spans="1:9" s="3" customFormat="1" ht="13.8" x14ac:dyDescent="0.3">
      <c r="A73" s="191" t="s">
        <v>317</v>
      </c>
      <c r="B73" s="195">
        <f>E67</f>
        <v>722.52874999999995</v>
      </c>
      <c r="C73" s="197" t="s">
        <v>318</v>
      </c>
      <c r="D73" s="117"/>
      <c r="E73" s="117"/>
      <c r="F73" s="117"/>
      <c r="G73" s="189" t="s">
        <v>317</v>
      </c>
      <c r="H73" s="145">
        <f>B73+'Soja 2da. T'!B75</f>
        <v>1127.17875</v>
      </c>
      <c r="I73" s="153" t="s">
        <v>318</v>
      </c>
    </row>
    <row r="74" spans="1:9" s="3" customFormat="1" ht="13.8" x14ac:dyDescent="0.3">
      <c r="A74" s="190" t="s">
        <v>160</v>
      </c>
      <c r="B74" s="195">
        <f>+B72*B71</f>
        <v>920</v>
      </c>
      <c r="C74" s="196" t="s">
        <v>318</v>
      </c>
      <c r="D74" s="28"/>
      <c r="E74" s="30"/>
      <c r="G74" s="190" t="s">
        <v>160</v>
      </c>
      <c r="H74" s="145">
        <f>B74+'Soja 2da. T'!B76</f>
        <v>1334.3349148562136</v>
      </c>
      <c r="I74" s="152" t="s">
        <v>318</v>
      </c>
    </row>
    <row r="75" spans="1:9" s="3" customFormat="1" ht="13.8" x14ac:dyDescent="0.3">
      <c r="A75" s="191" t="s">
        <v>321</v>
      </c>
      <c r="B75" s="244">
        <f>+B74-B73</f>
        <v>197.47125000000005</v>
      </c>
      <c r="C75" s="197" t="s">
        <v>318</v>
      </c>
      <c r="D75" s="28"/>
      <c r="E75" s="30"/>
      <c r="G75" s="191" t="s">
        <v>321</v>
      </c>
      <c r="H75" s="139">
        <f>H74-H73</f>
        <v>207.15616485621354</v>
      </c>
      <c r="I75" s="153" t="s">
        <v>318</v>
      </c>
    </row>
    <row r="76" spans="1:9" s="3" customFormat="1" ht="13.8" x14ac:dyDescent="0.3">
      <c r="A76" s="191" t="s">
        <v>325</v>
      </c>
      <c r="B76" s="273">
        <f>B75/B73</f>
        <v>0.27330573350887433</v>
      </c>
      <c r="C76" s="197"/>
      <c r="D76" s="28"/>
      <c r="E76" s="30"/>
      <c r="G76" s="191" t="s">
        <v>167</v>
      </c>
      <c r="H76" s="156">
        <f>H75/H73</f>
        <v>0.1837828870143387</v>
      </c>
      <c r="I76" s="153"/>
    </row>
    <row r="77" spans="1:9" s="3" customFormat="1" ht="13.8" x14ac:dyDescent="0.3">
      <c r="A77" s="190" t="s">
        <v>326</v>
      </c>
      <c r="B77" s="234">
        <f>(E20+E23+E26+E35+E46+E62+E49+E65+E30)/(B72-B58%*B72-D52*B52-D53*B53-D54*B54-D55*B55-D56*B56-D57*B57-D51*B51)</f>
        <v>3.0386015092502432</v>
      </c>
      <c r="C77" s="197"/>
      <c r="D77" s="28"/>
      <c r="E77" s="30"/>
      <c r="G77" s="190"/>
      <c r="H77" s="184"/>
      <c r="I77" s="153"/>
    </row>
    <row r="78" spans="1:9" s="3" customFormat="1" ht="13.8" x14ac:dyDescent="0.3">
      <c r="A78" s="191" t="s">
        <v>164</v>
      </c>
      <c r="B78" s="244">
        <f>E20+E27*0.8+E30*0.9+E35+E46</f>
        <v>497.25</v>
      </c>
      <c r="C78" s="197" t="s">
        <v>318</v>
      </c>
      <c r="D78" s="28"/>
      <c r="E78" s="30"/>
      <c r="G78" s="191" t="s">
        <v>164</v>
      </c>
      <c r="H78" s="139">
        <f>B78+'Soja 2da. T'!B80</f>
        <v>793.9</v>
      </c>
      <c r="I78" s="153" t="s">
        <v>318</v>
      </c>
    </row>
    <row r="79" spans="1:9" s="3" customFormat="1" thickBot="1" x14ac:dyDescent="0.35">
      <c r="A79" s="192" t="s">
        <v>327</v>
      </c>
      <c r="B79" s="274">
        <f>B75/B78</f>
        <v>0.39712669683257928</v>
      </c>
      <c r="C79" s="199"/>
      <c r="D79" s="28"/>
      <c r="E79" s="30"/>
      <c r="G79" s="192" t="s">
        <v>327</v>
      </c>
      <c r="H79" s="155">
        <f>H75/H78</f>
        <v>0.26093483418089625</v>
      </c>
      <c r="I79" s="154"/>
    </row>
    <row r="81" spans="1:8" s="3" customFormat="1" ht="13.8" x14ac:dyDescent="0.3">
      <c r="A81" s="668" t="s">
        <v>317</v>
      </c>
      <c r="B81" s="668"/>
      <c r="C81" s="42">
        <f>E67</f>
        <v>722.52874999999995</v>
      </c>
      <c r="D81" s="28"/>
      <c r="E81" s="30"/>
    </row>
    <row r="82" spans="1:8" s="3" customFormat="1" ht="13.8" x14ac:dyDescent="0.3">
      <c r="A82" s="762" t="s">
        <v>395</v>
      </c>
      <c r="B82" s="762"/>
      <c r="C82" s="762"/>
      <c r="D82" s="762"/>
      <c r="E82" s="762"/>
      <c r="F82" s="762"/>
      <c r="G82" s="762"/>
      <c r="H82" s="762"/>
    </row>
    <row r="83" spans="1:8" s="3" customFormat="1" ht="13.8" x14ac:dyDescent="0.3">
      <c r="A83" s="43" t="s">
        <v>332</v>
      </c>
      <c r="B83" s="44">
        <f>E83-1.5</f>
        <v>2.5</v>
      </c>
      <c r="C83" s="44">
        <f>E83-1</f>
        <v>3</v>
      </c>
      <c r="D83" s="44">
        <f>E83-0.5</f>
        <v>3.5</v>
      </c>
      <c r="E83" s="45">
        <f>B71</f>
        <v>4</v>
      </c>
      <c r="F83" s="44">
        <f>E83+0.5</f>
        <v>4.5</v>
      </c>
      <c r="G83" s="44">
        <f>E83+0.8</f>
        <v>4.8</v>
      </c>
      <c r="H83" s="46">
        <f>E83+1.2</f>
        <v>5.2</v>
      </c>
    </row>
    <row r="84" spans="1:8" s="3" customFormat="1" ht="13.8" x14ac:dyDescent="0.3">
      <c r="A84" s="47">
        <f>A85-10</f>
        <v>200</v>
      </c>
      <c r="B84" s="48">
        <f>B93/C81*100</f>
        <v>-30.798601439735091</v>
      </c>
      <c r="C84" s="48">
        <f>C93/C81*100</f>
        <v>-16.958321727682112</v>
      </c>
      <c r="D84" s="48">
        <f>D93/C81*100</f>
        <v>-3.1180420156291286</v>
      </c>
      <c r="E84" s="49">
        <f>E93/C81*100</f>
        <v>10.722237696423853</v>
      </c>
      <c r="F84" s="48">
        <f>F93/C81*100</f>
        <v>24.562517408476836</v>
      </c>
      <c r="G84" s="48">
        <f>G93/C81*100</f>
        <v>32.866685235708623</v>
      </c>
      <c r="H84" s="50">
        <f>H93/C81*100</f>
        <v>43.938909005351007</v>
      </c>
    </row>
    <row r="85" spans="1:8" s="3" customFormat="1" ht="13.8" x14ac:dyDescent="0.3">
      <c r="A85" s="47">
        <f>A86-10</f>
        <v>210</v>
      </c>
      <c r="B85" s="48">
        <f>B94/C81*100</f>
        <v>-27.338531511721847</v>
      </c>
      <c r="C85" s="48">
        <f>C94/C81*100</f>
        <v>-12.806237814066215</v>
      </c>
      <c r="D85" s="48">
        <f>D94/C81*100</f>
        <v>1.7260558835894151</v>
      </c>
      <c r="E85" s="49">
        <f>E94/C81*100</f>
        <v>16.258349581245046</v>
      </c>
      <c r="F85" s="48">
        <f>F94/C81*100</f>
        <v>30.790643278900674</v>
      </c>
      <c r="G85" s="48">
        <f>G94/C81*100</f>
        <v>39.510019497494056</v>
      </c>
      <c r="H85" s="50">
        <f>H94/C81*100</f>
        <v>51.135854455618556</v>
      </c>
    </row>
    <row r="86" spans="1:8" s="3" customFormat="1" ht="13.8" x14ac:dyDescent="0.3">
      <c r="A86" s="47">
        <f>A87-10</f>
        <v>220</v>
      </c>
      <c r="B86" s="48">
        <f>B95/C81*100</f>
        <v>-23.878461583708603</v>
      </c>
      <c r="C86" s="48">
        <f>C95/C81*100</f>
        <v>-8.6541539004503214</v>
      </c>
      <c r="D86" s="48">
        <f>D95/C81*100</f>
        <v>6.5701537828079584</v>
      </c>
      <c r="E86" s="49">
        <f>E95/C81*100</f>
        <v>21.794461466066238</v>
      </c>
      <c r="F86" s="48">
        <f>F95/C81*100</f>
        <v>37.01876914932452</v>
      </c>
      <c r="G86" s="48">
        <f>G95/C81*100</f>
        <v>46.153353759279483</v>
      </c>
      <c r="H86" s="50">
        <f>H95/C81*100</f>
        <v>58.332799905886112</v>
      </c>
    </row>
    <row r="87" spans="1:8" s="3" customFormat="1" ht="13.8" x14ac:dyDescent="0.3">
      <c r="A87" s="51">
        <f>B72</f>
        <v>230</v>
      </c>
      <c r="B87" s="52">
        <f>B96/C81*100</f>
        <v>-20.418391655695356</v>
      </c>
      <c r="C87" s="53">
        <f>C96/C81*100</f>
        <v>-4.5020699868344272</v>
      </c>
      <c r="D87" s="53">
        <f>D96/C81*100</f>
        <v>11.414251682026503</v>
      </c>
      <c r="E87" s="54">
        <f>E96/C81*100</f>
        <v>27.330573350887434</v>
      </c>
      <c r="F87" s="53">
        <f>F96/C81*100</f>
        <v>43.246895019748358</v>
      </c>
      <c r="G87" s="53">
        <f>G96/C81*100</f>
        <v>52.796688021064917</v>
      </c>
      <c r="H87" s="55">
        <f>H96/C81*100</f>
        <v>65.529745356153654</v>
      </c>
    </row>
    <row r="88" spans="1:8" s="3" customFormat="1" ht="13.8" x14ac:dyDescent="0.3">
      <c r="A88" s="47">
        <f>A87+10</f>
        <v>240</v>
      </c>
      <c r="B88" s="56">
        <f>B97/C81*100</f>
        <v>-16.958321727682112</v>
      </c>
      <c r="C88" s="56">
        <f>C97/C81*100</f>
        <v>-0.34998607321853226</v>
      </c>
      <c r="D88" s="56">
        <f>D97/C81*100</f>
        <v>16.258349581245046</v>
      </c>
      <c r="E88" s="57">
        <f>E97/C81*100</f>
        <v>32.866685235708623</v>
      </c>
      <c r="F88" s="56">
        <f>F97/C81*100</f>
        <v>49.475020890172203</v>
      </c>
      <c r="G88" s="56">
        <f>G97/C81*100</f>
        <v>59.44002228285035</v>
      </c>
      <c r="H88" s="58">
        <f>H97/C81*100</f>
        <v>72.726690806421217</v>
      </c>
    </row>
    <row r="89" spans="1:8" s="3" customFormat="1" ht="13.8" x14ac:dyDescent="0.3">
      <c r="A89" s="47">
        <f>A88+10</f>
        <v>250</v>
      </c>
      <c r="B89" s="56">
        <f>B98/C81*100</f>
        <v>-13.498251799668864</v>
      </c>
      <c r="C89" s="56">
        <f>C98/C81*100</f>
        <v>3.8020978403973622</v>
      </c>
      <c r="D89" s="56">
        <f>D98/C81*100</f>
        <v>21.102447480463589</v>
      </c>
      <c r="E89" s="57">
        <f>E98/C81*100</f>
        <v>38.402797120529819</v>
      </c>
      <c r="F89" s="56">
        <f>F98/C81*100</f>
        <v>55.703146760596042</v>
      </c>
      <c r="G89" s="56">
        <f>G98/C81*100</f>
        <v>66.083356544635791</v>
      </c>
      <c r="H89" s="58">
        <f>H98/C81*100</f>
        <v>79.923636256688752</v>
      </c>
    </row>
    <row r="90" spans="1:8" s="3" customFormat="1" ht="13.8" x14ac:dyDescent="0.3">
      <c r="A90" s="47">
        <f>A89+10</f>
        <v>260</v>
      </c>
      <c r="B90" s="56">
        <f>B99/C81*100</f>
        <v>-10.038181871655619</v>
      </c>
      <c r="C90" s="56">
        <f>C99/C81*100</f>
        <v>7.9541817540132564</v>
      </c>
      <c r="D90" s="56">
        <f>D99/C81*100</f>
        <v>25.946545379682135</v>
      </c>
      <c r="E90" s="57">
        <f>E99/C81*100</f>
        <v>43.938909005351007</v>
      </c>
      <c r="F90" s="56">
        <f>F99/C81*100</f>
        <v>61.931272631019887</v>
      </c>
      <c r="G90" s="56">
        <f>G99/C81*100</f>
        <v>72.726690806421217</v>
      </c>
      <c r="H90" s="58">
        <f>H99/C81*100</f>
        <v>87.120581706956315</v>
      </c>
    </row>
    <row r="91" spans="1:8" s="3" customFormat="1" ht="13.8" x14ac:dyDescent="0.3">
      <c r="A91" s="669" t="s">
        <v>404</v>
      </c>
      <c r="B91" s="669"/>
      <c r="C91" s="669"/>
      <c r="D91" s="669"/>
      <c r="E91" s="669"/>
      <c r="F91" s="669"/>
      <c r="G91" s="669"/>
      <c r="H91" s="669"/>
    </row>
    <row r="92" spans="1:8" s="3" customFormat="1" ht="13.8" x14ac:dyDescent="0.3">
      <c r="A92" s="43" t="s">
        <v>332</v>
      </c>
      <c r="B92" s="44">
        <f>E92-1.5</f>
        <v>2.5</v>
      </c>
      <c r="C92" s="44">
        <f>E92-1</f>
        <v>3</v>
      </c>
      <c r="D92" s="44">
        <f>E92-0.5</f>
        <v>3.5</v>
      </c>
      <c r="E92" s="45">
        <f>B71</f>
        <v>4</v>
      </c>
      <c r="F92" s="44">
        <f>E92+0.5</f>
        <v>4.5</v>
      </c>
      <c r="G92" s="44">
        <f>E92+0.8</f>
        <v>4.8</v>
      </c>
      <c r="H92" s="46">
        <f>E92+1.2</f>
        <v>5.2</v>
      </c>
    </row>
    <row r="93" spans="1:8" s="3" customFormat="1" ht="13.8" x14ac:dyDescent="0.3">
      <c r="A93" s="47">
        <f>A94-10</f>
        <v>200</v>
      </c>
      <c r="B93" s="48">
        <f>(B92*A93)-C81</f>
        <v>-222.52874999999995</v>
      </c>
      <c r="C93" s="48">
        <f>(C92*A93)-C81</f>
        <v>-122.52874999999995</v>
      </c>
      <c r="D93" s="48">
        <f>(D92*A93)-C81</f>
        <v>-22.528749999999945</v>
      </c>
      <c r="E93" s="49">
        <f>(E92*A93)-C81</f>
        <v>77.471250000000055</v>
      </c>
      <c r="F93" s="48">
        <f>(F92*A93)-C81</f>
        <v>177.47125000000005</v>
      </c>
      <c r="G93" s="48">
        <f>(G92*A93)-C81</f>
        <v>237.47125000000005</v>
      </c>
      <c r="H93" s="50">
        <f>(H92*A93)-C81</f>
        <v>317.47125000000005</v>
      </c>
    </row>
    <row r="94" spans="1:8" s="3" customFormat="1" ht="13.8" x14ac:dyDescent="0.3">
      <c r="A94" s="47">
        <f>A95-10</f>
        <v>210</v>
      </c>
      <c r="B94" s="48">
        <f>(B92*A94)-C81</f>
        <v>-197.52874999999995</v>
      </c>
      <c r="C94" s="48">
        <f>(C92*A94)-C81</f>
        <v>-92.528749999999945</v>
      </c>
      <c r="D94" s="48">
        <f>(D92*A94)-C81</f>
        <v>12.471250000000055</v>
      </c>
      <c r="E94" s="49">
        <f>(E92*A94)-C81</f>
        <v>117.47125000000005</v>
      </c>
      <c r="F94" s="48">
        <f>(F92*A94)-C81</f>
        <v>222.47125000000005</v>
      </c>
      <c r="G94" s="48">
        <f>(G92*A94)-C81</f>
        <v>285.47125000000005</v>
      </c>
      <c r="H94" s="50">
        <f>(H92*A94)-C81</f>
        <v>369.47125000000005</v>
      </c>
    </row>
    <row r="95" spans="1:8" s="3" customFormat="1" ht="13.8" x14ac:dyDescent="0.3">
      <c r="A95" s="47">
        <f>A96-10</f>
        <v>220</v>
      </c>
      <c r="B95" s="48">
        <f>(A95*B92)-C81</f>
        <v>-172.52874999999995</v>
      </c>
      <c r="C95" s="48">
        <f>(C92*A95)-C81</f>
        <v>-62.528749999999945</v>
      </c>
      <c r="D95" s="48">
        <f>(D92*A95)-C81</f>
        <v>47.471250000000055</v>
      </c>
      <c r="E95" s="49">
        <f>(E92*A95)-C81</f>
        <v>157.47125000000005</v>
      </c>
      <c r="F95" s="48">
        <f>(F92*A95)-C81</f>
        <v>267.47125000000005</v>
      </c>
      <c r="G95" s="48">
        <f>(G92*A95)-C81</f>
        <v>333.47125000000005</v>
      </c>
      <c r="H95" s="50">
        <f>(H92*A95)-C81</f>
        <v>421.47125000000005</v>
      </c>
    </row>
    <row r="96" spans="1:8" s="3" customFormat="1" ht="13.8" x14ac:dyDescent="0.3">
      <c r="A96" s="51">
        <f>B72</f>
        <v>230</v>
      </c>
      <c r="B96" s="53">
        <f>(A96*B92)-C81</f>
        <v>-147.52874999999995</v>
      </c>
      <c r="C96" s="53">
        <f>(A96*C92)-C81</f>
        <v>-32.528749999999945</v>
      </c>
      <c r="D96" s="53">
        <f>(D92*A96)-C81</f>
        <v>82.471250000000055</v>
      </c>
      <c r="E96" s="54">
        <f>(A96*E92)-C81</f>
        <v>197.47125000000005</v>
      </c>
      <c r="F96" s="53">
        <f>(A96*F92)-C81</f>
        <v>312.47125000000005</v>
      </c>
      <c r="G96" s="53">
        <f>(G92*A96)-C81</f>
        <v>381.47125000000005</v>
      </c>
      <c r="H96" s="55">
        <f>(H92*A96)-C81</f>
        <v>473.47125000000005</v>
      </c>
    </row>
    <row r="97" spans="1:8" s="3" customFormat="1" ht="13.8" x14ac:dyDescent="0.3">
      <c r="A97" s="47">
        <f>A96+10</f>
        <v>240</v>
      </c>
      <c r="B97" s="56">
        <f>(A97*B92)-C81</f>
        <v>-122.52874999999995</v>
      </c>
      <c r="C97" s="56">
        <f>(C92*A97)-C81</f>
        <v>-2.5287499999999454</v>
      </c>
      <c r="D97" s="56">
        <f>(D92*A97)-C81</f>
        <v>117.47125000000005</v>
      </c>
      <c r="E97" s="57">
        <f>(E92*A97)-C81</f>
        <v>237.47125000000005</v>
      </c>
      <c r="F97" s="56">
        <f>(F92*A97)-C81</f>
        <v>357.47125000000005</v>
      </c>
      <c r="G97" s="56">
        <f>(G92*A97)-C81</f>
        <v>429.47125000000005</v>
      </c>
      <c r="H97" s="58">
        <f>(H92*A97)-C81</f>
        <v>525.47125000000005</v>
      </c>
    </row>
    <row r="98" spans="1:8" s="3" customFormat="1" ht="13.8" x14ac:dyDescent="0.3">
      <c r="A98" s="47">
        <f>A97+10</f>
        <v>250</v>
      </c>
      <c r="B98" s="56">
        <f>(A98*B92)-C81</f>
        <v>-97.528749999999945</v>
      </c>
      <c r="C98" s="56">
        <f>(C92*A98)-C81</f>
        <v>27.471250000000055</v>
      </c>
      <c r="D98" s="56">
        <f>(D92*A98)-C81</f>
        <v>152.47125000000005</v>
      </c>
      <c r="E98" s="57">
        <f>(E92*A98)-C81</f>
        <v>277.47125000000005</v>
      </c>
      <c r="F98" s="56">
        <f>(F92*A98)-C81</f>
        <v>402.47125000000005</v>
      </c>
      <c r="G98" s="56">
        <f>(G92*A98)-C81</f>
        <v>477.47125000000005</v>
      </c>
      <c r="H98" s="58">
        <f>(H92*A98)-C81</f>
        <v>577.47125000000005</v>
      </c>
    </row>
    <row r="99" spans="1:8" s="3" customFormat="1" ht="13.8" x14ac:dyDescent="0.3">
      <c r="A99" s="59">
        <f>A98+10</f>
        <v>260</v>
      </c>
      <c r="B99" s="60">
        <f>(B92*A99)-C81</f>
        <v>-72.528749999999945</v>
      </c>
      <c r="C99" s="60">
        <f>(C92*A99)-C81</f>
        <v>57.471250000000055</v>
      </c>
      <c r="D99" s="60">
        <f>(D92*A99)-C81</f>
        <v>187.47125000000005</v>
      </c>
      <c r="E99" s="61">
        <f>(E92*A99)-C81</f>
        <v>317.47125000000005</v>
      </c>
      <c r="F99" s="60">
        <f>(F92*A99)-C81</f>
        <v>447.47125000000005</v>
      </c>
      <c r="G99" s="60">
        <f>(G92*A99)-C81</f>
        <v>525.47125000000005</v>
      </c>
      <c r="H99" s="62">
        <f>(A99*H92)-C81</f>
        <v>629.47125000000005</v>
      </c>
    </row>
  </sheetData>
  <mergeCells count="18">
    <mergeCell ref="C35:D35"/>
    <mergeCell ref="A1:H1"/>
    <mergeCell ref="C20:D20"/>
    <mergeCell ref="C24:D24"/>
    <mergeCell ref="C27:D27"/>
    <mergeCell ref="C30:D30"/>
    <mergeCell ref="A91:H91"/>
    <mergeCell ref="C46:D46"/>
    <mergeCell ref="C49:D49"/>
    <mergeCell ref="C59:D59"/>
    <mergeCell ref="C62:D62"/>
    <mergeCell ref="C65:D65"/>
    <mergeCell ref="C67:D67"/>
    <mergeCell ref="D71:F71"/>
    <mergeCell ref="G71:I72"/>
    <mergeCell ref="D72:F72"/>
    <mergeCell ref="A81:B81"/>
    <mergeCell ref="A82:H82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"/>
  <sheetViews>
    <sheetView zoomScaleNormal="100" workbookViewId="0">
      <selection activeCell="H16" sqref="H16"/>
    </sheetView>
  </sheetViews>
  <sheetFormatPr baseColWidth="10" defaultColWidth="9.109375" defaultRowHeight="13.2" x14ac:dyDescent="0.25"/>
  <cols>
    <col min="1" max="256" width="11.44140625" customWidth="1"/>
  </cols>
  <sheetData>
    <row r="1" spans="1:2" x14ac:dyDescent="0.25">
      <c r="A1" s="397">
        <v>42095</v>
      </c>
      <c r="B1" s="398">
        <v>9</v>
      </c>
    </row>
    <row r="2" spans="1:2" x14ac:dyDescent="0.25">
      <c r="A2" s="397">
        <v>42125</v>
      </c>
      <c r="B2" s="398">
        <v>9</v>
      </c>
    </row>
    <row r="3" spans="1:2" x14ac:dyDescent="0.25">
      <c r="A3" s="397">
        <v>42156</v>
      </c>
      <c r="B3" s="398">
        <v>9</v>
      </c>
    </row>
    <row r="4" spans="1:2" x14ac:dyDescent="0.25">
      <c r="A4" s="397">
        <v>42186</v>
      </c>
      <c r="B4" s="398">
        <v>9</v>
      </c>
    </row>
    <row r="5" spans="1:2" x14ac:dyDescent="0.25">
      <c r="A5" s="397">
        <v>42217</v>
      </c>
      <c r="B5" s="398">
        <v>9</v>
      </c>
    </row>
    <row r="6" spans="1:2" x14ac:dyDescent="0.25">
      <c r="A6" s="397">
        <v>42248</v>
      </c>
      <c r="B6" s="398">
        <v>9</v>
      </c>
    </row>
    <row r="7" spans="1:2" x14ac:dyDescent="0.25">
      <c r="A7" s="397">
        <v>42278</v>
      </c>
      <c r="B7" s="398">
        <v>9</v>
      </c>
    </row>
    <row r="8" spans="1:2" x14ac:dyDescent="0.25">
      <c r="A8" s="397">
        <v>42309</v>
      </c>
      <c r="B8" s="398">
        <v>9</v>
      </c>
    </row>
    <row r="9" spans="1:2" x14ac:dyDescent="0.25">
      <c r="A9" s="397">
        <v>42339</v>
      </c>
      <c r="B9" s="398">
        <v>9</v>
      </c>
    </row>
    <row r="10" spans="1:2" x14ac:dyDescent="0.25">
      <c r="A10" s="397">
        <v>42370</v>
      </c>
      <c r="B10" s="398">
        <v>9</v>
      </c>
    </row>
    <row r="11" spans="1:2" x14ac:dyDescent="0.25">
      <c r="A11" s="397">
        <v>42401</v>
      </c>
      <c r="B11" s="398">
        <v>9</v>
      </c>
    </row>
    <row r="12" spans="1:2" x14ac:dyDescent="0.25">
      <c r="A12" s="397">
        <v>42430</v>
      </c>
      <c r="B12" s="398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D17"/>
  <sheetViews>
    <sheetView workbookViewId="0">
      <selection activeCell="C58" sqref="C58"/>
    </sheetView>
  </sheetViews>
  <sheetFormatPr baseColWidth="10" defaultColWidth="9.109375" defaultRowHeight="13.2" x14ac:dyDescent="0.25"/>
  <cols>
    <col min="1" max="1" width="12.5546875" customWidth="1"/>
    <col min="2" max="256" width="11.44140625" customWidth="1"/>
  </cols>
  <sheetData>
    <row r="3" spans="1:4" x14ac:dyDescent="0.25">
      <c r="A3" s="372">
        <v>156</v>
      </c>
      <c r="B3" t="s">
        <v>483</v>
      </c>
      <c r="D3" s="373"/>
    </row>
    <row r="4" spans="1:4" x14ac:dyDescent="0.25">
      <c r="A4" s="372">
        <v>84</v>
      </c>
      <c r="B4" t="s">
        <v>182</v>
      </c>
      <c r="D4" s="373"/>
    </row>
    <row r="5" spans="1:4" x14ac:dyDescent="0.25">
      <c r="A5" s="372">
        <f>A3+A4</f>
        <v>240</v>
      </c>
      <c r="B5" t="s">
        <v>484</v>
      </c>
      <c r="D5" s="373"/>
    </row>
    <row r="6" spans="1:4" x14ac:dyDescent="0.25">
      <c r="A6" s="372"/>
      <c r="D6" s="373"/>
    </row>
    <row r="7" spans="1:4" ht="13.8" thickBot="1" x14ac:dyDescent="0.3">
      <c r="A7" s="372"/>
      <c r="D7" s="373"/>
    </row>
    <row r="8" spans="1:4" ht="13.8" thickBot="1" x14ac:dyDescent="0.3">
      <c r="A8" s="372"/>
      <c r="B8" s="366" t="s">
        <v>159</v>
      </c>
      <c r="C8" s="366" t="s">
        <v>157</v>
      </c>
      <c r="D8" s="366" t="s">
        <v>485</v>
      </c>
    </row>
    <row r="9" spans="1:4" x14ac:dyDescent="0.25">
      <c r="A9" s="372" t="s">
        <v>202</v>
      </c>
      <c r="B9">
        <f>'Cebada SP'!B81</f>
        <v>206.36176930596287</v>
      </c>
      <c r="C9">
        <f>'Cebada SP'!B80</f>
        <v>5.7</v>
      </c>
      <c r="D9" s="374" t="e">
        <f>Hoja2!Q15*12</f>
        <v>#NUM!</v>
      </c>
    </row>
    <row r="10" spans="1:4" x14ac:dyDescent="0.25">
      <c r="A10" s="372" t="s">
        <v>486</v>
      </c>
      <c r="B10">
        <f>'Soja 2da. C'!B75</f>
        <v>321.36916527401041</v>
      </c>
      <c r="C10">
        <f>'Soja 2da. C'!B74</f>
        <v>1.5</v>
      </c>
      <c r="D10" s="374" t="e">
        <f>Hoja2!Q29*12</f>
        <v>#NUM!</v>
      </c>
    </row>
    <row r="11" spans="1:4" x14ac:dyDescent="0.25">
      <c r="A11" s="372" t="s">
        <v>182</v>
      </c>
      <c r="B11">
        <f>'Girasol O SP'!B85</f>
        <v>380.21916527401038</v>
      </c>
      <c r="C11">
        <f>'Girasol O SP'!B80</f>
        <v>2.6</v>
      </c>
      <c r="D11" s="374" t="e">
        <f ca="1">Hoja2!Q44*12</f>
        <v>#NUM!</v>
      </c>
    </row>
    <row r="12" spans="1:4" x14ac:dyDescent="0.25">
      <c r="A12" s="372" t="s">
        <v>40</v>
      </c>
      <c r="B12">
        <f>'Trigo SP'!B76</f>
        <v>201.04308243727598</v>
      </c>
      <c r="C12">
        <f>'Trigo SP'!B75</f>
        <v>5.7</v>
      </c>
      <c r="D12" s="374" t="e">
        <f>Hoja2!Q62</f>
        <v>#NUM!</v>
      </c>
    </row>
    <row r="13" spans="1:4" x14ac:dyDescent="0.25">
      <c r="A13" s="372" t="s">
        <v>487</v>
      </c>
      <c r="B13">
        <f>'Soja 2da. T'!B74</f>
        <v>318.71916527401038</v>
      </c>
      <c r="C13">
        <f>'Soja 2da. T'!B73</f>
        <v>1.3</v>
      </c>
      <c r="D13" s="374" t="e">
        <f>Hoja2!Q65</f>
        <v>#NUM!</v>
      </c>
    </row>
    <row r="14" spans="1:4" x14ac:dyDescent="0.25">
      <c r="A14" s="372" t="s">
        <v>121</v>
      </c>
      <c r="B14">
        <f>'Maiz SP'!B77</f>
        <v>158.4191652740104</v>
      </c>
      <c r="C14">
        <f>'Maiz SP'!B76</f>
        <v>8.5</v>
      </c>
      <c r="D14" s="374" t="e">
        <f>Hoja2!Q68*12</f>
        <v>#NUM!</v>
      </c>
    </row>
    <row r="15" spans="1:4" x14ac:dyDescent="0.25">
      <c r="A15" s="372" t="s">
        <v>488</v>
      </c>
      <c r="B15">
        <f>Camelina!B83</f>
        <v>416.45</v>
      </c>
      <c r="C15">
        <f>Camelina!B82</f>
        <v>1</v>
      </c>
      <c r="D15" s="374" t="e">
        <f ca="1">Hoja2!Q71</f>
        <v>#NUM!</v>
      </c>
    </row>
    <row r="16" spans="1:4" ht="13.8" thickBot="1" x14ac:dyDescent="0.3">
      <c r="A16" s="372" t="s">
        <v>489</v>
      </c>
      <c r="B16">
        <f>'Girasol SP'!B87</f>
        <v>373.7591652740104</v>
      </c>
      <c r="C16">
        <f>'Girasol SP'!B83</f>
        <v>2.6</v>
      </c>
      <c r="D16" s="374" t="e">
        <f ca="1">Hoja2!Q74</f>
        <v>#NUM!</v>
      </c>
    </row>
    <row r="17" spans="1:4" ht="13.8" thickBot="1" x14ac:dyDescent="0.3">
      <c r="A17" s="367" t="s">
        <v>490</v>
      </c>
      <c r="B17" s="368"/>
      <c r="C17" s="368"/>
      <c r="D17" s="369" t="e">
        <f ca="1">Hoja2!Q46*12</f>
        <v>#NUM!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74"/>
  <sheetViews>
    <sheetView workbookViewId="0">
      <selection activeCell="C58" sqref="C58"/>
    </sheetView>
  </sheetViews>
  <sheetFormatPr baseColWidth="10" defaultColWidth="9.109375" defaultRowHeight="13.2" x14ac:dyDescent="0.25"/>
  <cols>
    <col min="1" max="1" width="16.33203125" customWidth="1"/>
    <col min="2" max="2" width="14.109375" bestFit="1" customWidth="1"/>
    <col min="3" max="3" width="13.88671875" customWidth="1"/>
    <col min="4" max="4" width="15.109375" customWidth="1"/>
    <col min="5" max="5" width="14.5546875" customWidth="1"/>
    <col min="6" max="6" width="13.88671875" customWidth="1"/>
    <col min="7" max="8" width="14" customWidth="1"/>
    <col min="9" max="9" width="14.33203125" customWidth="1"/>
    <col min="10" max="10" width="15.5546875" customWidth="1"/>
    <col min="11" max="11" width="14.33203125" customWidth="1"/>
    <col min="12" max="13" width="15" customWidth="1"/>
    <col min="14" max="14" width="14.33203125" customWidth="1"/>
    <col min="15" max="15" width="15.5546875" customWidth="1"/>
    <col min="16" max="16" width="13.5546875" customWidth="1"/>
    <col min="17" max="256" width="11.44140625" customWidth="1"/>
  </cols>
  <sheetData>
    <row r="1" spans="1:17" ht="14.4" thickBot="1" x14ac:dyDescent="0.35">
      <c r="B1" s="375">
        <v>42125</v>
      </c>
      <c r="C1" s="375">
        <v>42156</v>
      </c>
      <c r="D1" s="375">
        <v>42186</v>
      </c>
      <c r="E1" s="375">
        <v>42217</v>
      </c>
      <c r="F1" s="375">
        <v>42248</v>
      </c>
      <c r="G1" s="375">
        <v>42278</v>
      </c>
      <c r="H1" s="375">
        <v>42309</v>
      </c>
      <c r="I1" s="375">
        <v>42339</v>
      </c>
      <c r="J1" s="375">
        <v>42370</v>
      </c>
      <c r="K1" s="375">
        <v>42401</v>
      </c>
      <c r="L1" s="375">
        <v>42430</v>
      </c>
      <c r="M1" s="375">
        <v>42461</v>
      </c>
      <c r="N1" s="375">
        <v>42491</v>
      </c>
      <c r="O1" s="375">
        <v>42522</v>
      </c>
      <c r="P1" s="375" t="s">
        <v>210</v>
      </c>
    </row>
    <row r="2" spans="1:17" ht="12" customHeight="1" x14ac:dyDescent="0.25">
      <c r="A2" s="376" t="s">
        <v>223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1" t="s">
        <v>485</v>
      </c>
    </row>
    <row r="3" spans="1:17" hidden="1" x14ac:dyDescent="0.25">
      <c r="A3" s="378"/>
      <c r="B3" s="316">
        <v>-31743.79555555556</v>
      </c>
      <c r="C3" s="316">
        <v>-33102.195555555561</v>
      </c>
      <c r="D3" s="316">
        <v>-50811.706666666672</v>
      </c>
      <c r="E3" s="316">
        <v>-58424.406666666677</v>
      </c>
      <c r="F3" s="316">
        <v>-59782.806666666678</v>
      </c>
      <c r="G3" s="316">
        <v>-61141.20666666668</v>
      </c>
      <c r="H3" s="316">
        <v>-76898.646666666682</v>
      </c>
      <c r="I3" s="316">
        <v>-103239.90933333334</v>
      </c>
      <c r="J3" s="316">
        <v>-165315.77066666668</v>
      </c>
      <c r="K3" s="316">
        <v>-128910.65066666668</v>
      </c>
      <c r="L3" s="316">
        <v>48886.929333333275</v>
      </c>
      <c r="M3" s="316">
        <v>48886.929333333275</v>
      </c>
      <c r="N3" s="316">
        <v>35302.929333333275</v>
      </c>
      <c r="O3" s="316">
        <v>35302.929333333275</v>
      </c>
      <c r="P3" s="329"/>
      <c r="Q3" s="373"/>
    </row>
    <row r="4" spans="1:17" hidden="1" x14ac:dyDescent="0.25">
      <c r="A4" s="379" t="s">
        <v>215</v>
      </c>
      <c r="B4" s="331">
        <v>0</v>
      </c>
      <c r="C4" s="331">
        <v>0</v>
      </c>
      <c r="D4" s="331">
        <v>0</v>
      </c>
      <c r="E4" s="331">
        <v>0</v>
      </c>
      <c r="F4" s="331">
        <v>0</v>
      </c>
      <c r="G4" s="331">
        <v>0</v>
      </c>
      <c r="H4" s="331">
        <v>0</v>
      </c>
      <c r="I4" s="331">
        <v>0</v>
      </c>
      <c r="J4" s="331">
        <v>47628.899999999994</v>
      </c>
      <c r="K4" s="331">
        <v>49649.51999999999</v>
      </c>
      <c r="L4" s="331">
        <v>191381.57999999996</v>
      </c>
      <c r="M4" s="331">
        <v>0</v>
      </c>
      <c r="N4" s="331">
        <v>0</v>
      </c>
      <c r="O4" s="331">
        <v>0</v>
      </c>
      <c r="P4" s="331">
        <v>288659.99999999994</v>
      </c>
      <c r="Q4" s="373"/>
    </row>
    <row r="5" spans="1:17" hidden="1" x14ac:dyDescent="0.25">
      <c r="A5" s="380" t="s">
        <v>216</v>
      </c>
      <c r="B5" s="329"/>
      <c r="C5" s="329"/>
      <c r="D5" s="329"/>
      <c r="E5" s="329"/>
      <c r="F5" s="329"/>
      <c r="G5" s="329"/>
      <c r="H5" s="329"/>
      <c r="I5" s="329"/>
      <c r="J5" s="329">
        <v>47628.899999999994</v>
      </c>
      <c r="K5" s="329">
        <v>49649.51999999999</v>
      </c>
      <c r="L5" s="329">
        <v>191381.57999999996</v>
      </c>
      <c r="M5" s="329"/>
      <c r="N5" s="329"/>
      <c r="O5" s="329"/>
      <c r="P5" s="329">
        <v>288659.99999999994</v>
      </c>
      <c r="Q5" s="373"/>
    </row>
    <row r="6" spans="1:17" hidden="1" x14ac:dyDescent="0.25">
      <c r="A6" s="381" t="s">
        <v>217</v>
      </c>
      <c r="B6" s="335">
        <v>31743.79555555556</v>
      </c>
      <c r="C6" s="335">
        <v>1358.4</v>
      </c>
      <c r="D6" s="335">
        <v>17709.511111111111</v>
      </c>
      <c r="E6" s="335">
        <v>7612.7000000000007</v>
      </c>
      <c r="F6" s="335">
        <v>1358.4</v>
      </c>
      <c r="G6" s="335">
        <v>1358.4</v>
      </c>
      <c r="H6" s="335">
        <v>15757.439999999999</v>
      </c>
      <c r="I6" s="335">
        <v>26341.262666666669</v>
      </c>
      <c r="J6" s="335">
        <v>109704.76133333333</v>
      </c>
      <c r="K6" s="335">
        <v>13244.4</v>
      </c>
      <c r="L6" s="335">
        <v>13584</v>
      </c>
      <c r="M6" s="335">
        <v>0</v>
      </c>
      <c r="N6" s="335">
        <v>13584</v>
      </c>
      <c r="O6" s="335">
        <v>0</v>
      </c>
      <c r="P6" s="335">
        <v>253357.07066666667</v>
      </c>
      <c r="Q6" s="373"/>
    </row>
    <row r="7" spans="1:17" hidden="1" x14ac:dyDescent="0.25">
      <c r="A7" s="380" t="s">
        <v>206</v>
      </c>
      <c r="B7" s="329">
        <v>16300.8</v>
      </c>
      <c r="C7" s="329"/>
      <c r="D7" s="329"/>
      <c r="E7" s="329"/>
      <c r="F7" s="329"/>
      <c r="G7" s="329"/>
      <c r="H7" s="329"/>
      <c r="I7" s="329">
        <v>10867.2</v>
      </c>
      <c r="J7" s="329"/>
      <c r="K7" s="329"/>
      <c r="L7" s="329">
        <v>13584</v>
      </c>
      <c r="M7" s="329"/>
      <c r="N7" s="329">
        <v>13584</v>
      </c>
      <c r="O7" s="329"/>
      <c r="P7" s="354">
        <v>54336</v>
      </c>
      <c r="Q7" s="373"/>
    </row>
    <row r="8" spans="1:17" hidden="1" x14ac:dyDescent="0.25">
      <c r="A8" s="380" t="s">
        <v>204</v>
      </c>
      <c r="B8" s="329">
        <v>8741.5555555555566</v>
      </c>
      <c r="C8" s="329">
        <v>0</v>
      </c>
      <c r="D8" s="329">
        <v>16351.111111111111</v>
      </c>
      <c r="E8" s="329">
        <v>5660</v>
      </c>
      <c r="F8" s="329">
        <v>0</v>
      </c>
      <c r="G8" s="329">
        <v>0</v>
      </c>
      <c r="H8" s="329">
        <v>2830</v>
      </c>
      <c r="I8" s="329">
        <v>0</v>
      </c>
      <c r="J8" s="329">
        <v>0</v>
      </c>
      <c r="K8" s="329">
        <v>0</v>
      </c>
      <c r="L8" s="329">
        <v>0</v>
      </c>
      <c r="M8" s="329">
        <v>0</v>
      </c>
      <c r="N8" s="329"/>
      <c r="O8" s="329"/>
      <c r="P8" s="329">
        <v>33582.666666666672</v>
      </c>
      <c r="Q8" s="373"/>
    </row>
    <row r="9" spans="1:17" hidden="1" x14ac:dyDescent="0.25">
      <c r="A9" s="380" t="s">
        <v>218</v>
      </c>
      <c r="B9" s="329">
        <v>5343.04</v>
      </c>
      <c r="C9" s="329">
        <v>0</v>
      </c>
      <c r="D9" s="329">
        <v>0</v>
      </c>
      <c r="E9" s="329">
        <v>594.30000000000007</v>
      </c>
      <c r="F9" s="329">
        <v>0</v>
      </c>
      <c r="G9" s="329">
        <v>0</v>
      </c>
      <c r="H9" s="329">
        <v>11569.039999999999</v>
      </c>
      <c r="I9" s="329">
        <v>0</v>
      </c>
      <c r="J9" s="329">
        <v>5009.0999999999995</v>
      </c>
      <c r="K9" s="329">
        <v>0</v>
      </c>
      <c r="L9" s="329">
        <v>0</v>
      </c>
      <c r="M9" s="329"/>
      <c r="N9" s="329"/>
      <c r="O9" s="329"/>
      <c r="P9" s="329">
        <v>22515.479999999996</v>
      </c>
      <c r="Q9" s="373"/>
    </row>
    <row r="10" spans="1:17" hidden="1" x14ac:dyDescent="0.25">
      <c r="A10" s="380" t="s">
        <v>219</v>
      </c>
      <c r="B10" s="329"/>
      <c r="C10" s="329"/>
      <c r="D10" s="329"/>
      <c r="E10" s="329"/>
      <c r="F10" s="329"/>
      <c r="G10" s="329"/>
      <c r="H10" s="329"/>
      <c r="I10" s="249">
        <v>14115.662666666667</v>
      </c>
      <c r="J10" s="329">
        <v>23703.325333333334</v>
      </c>
      <c r="K10" s="329"/>
      <c r="L10" s="329"/>
      <c r="M10" s="329"/>
      <c r="N10" s="329"/>
      <c r="O10" s="329"/>
      <c r="P10" s="329">
        <v>37818.987999999998</v>
      </c>
      <c r="Q10" s="373"/>
    </row>
    <row r="11" spans="1:17" hidden="1" x14ac:dyDescent="0.25">
      <c r="A11" s="380" t="s">
        <v>205</v>
      </c>
      <c r="B11" s="329"/>
      <c r="C11" s="329"/>
      <c r="D11" s="329"/>
      <c r="E11" s="329"/>
      <c r="F11" s="329"/>
      <c r="G11" s="329"/>
      <c r="H11" s="329"/>
      <c r="I11" s="329"/>
      <c r="J11" s="329">
        <v>14716</v>
      </c>
      <c r="K11" s="329"/>
      <c r="L11" s="329"/>
      <c r="M11" s="329"/>
      <c r="N11" s="329"/>
      <c r="O11" s="329"/>
      <c r="P11" s="329">
        <v>14716</v>
      </c>
      <c r="Q11" s="373"/>
    </row>
    <row r="12" spans="1:17" hidden="1" x14ac:dyDescent="0.25">
      <c r="A12" s="380" t="s">
        <v>220</v>
      </c>
      <c r="B12" s="329"/>
      <c r="C12" s="329"/>
      <c r="D12" s="329"/>
      <c r="E12" s="329"/>
      <c r="F12" s="329"/>
      <c r="G12" s="329"/>
      <c r="H12" s="329"/>
      <c r="I12" s="329"/>
      <c r="J12" s="329">
        <v>64917.936000000002</v>
      </c>
      <c r="K12" s="329"/>
      <c r="L12" s="329"/>
      <c r="M12" s="329"/>
      <c r="N12" s="329"/>
      <c r="O12" s="329"/>
      <c r="P12" s="329">
        <v>64917.936000000002</v>
      </c>
      <c r="Q12" s="373"/>
    </row>
    <row r="13" spans="1:17" hidden="1" x14ac:dyDescent="0.25">
      <c r="A13" s="380" t="s">
        <v>207</v>
      </c>
      <c r="B13" s="329">
        <v>1358.4</v>
      </c>
      <c r="C13" s="329">
        <v>1358.4</v>
      </c>
      <c r="D13" s="329">
        <v>1358.4</v>
      </c>
      <c r="E13" s="329">
        <v>1358.4</v>
      </c>
      <c r="F13" s="329">
        <v>1358.4</v>
      </c>
      <c r="G13" s="329">
        <v>1358.4</v>
      </c>
      <c r="H13" s="329">
        <v>1358.4</v>
      </c>
      <c r="I13" s="329">
        <v>1358.4</v>
      </c>
      <c r="J13" s="329">
        <v>1358.4</v>
      </c>
      <c r="K13" s="329">
        <v>1358.4</v>
      </c>
      <c r="L13" s="329"/>
      <c r="M13" s="329"/>
      <c r="N13" s="329"/>
      <c r="O13" s="329"/>
      <c r="P13" s="329">
        <v>13583.999999999998</v>
      </c>
      <c r="Q13" s="373"/>
    </row>
    <row r="14" spans="1:17" hidden="1" x14ac:dyDescent="0.25">
      <c r="A14" s="380" t="s">
        <v>221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>
        <v>11886</v>
      </c>
      <c r="L14" s="329"/>
      <c r="M14" s="329"/>
      <c r="N14" s="329"/>
      <c r="O14" s="329"/>
      <c r="P14" s="329">
        <v>11886</v>
      </c>
      <c r="Q14" s="373"/>
    </row>
    <row r="15" spans="1:17" ht="13.8" thickBot="1" x14ac:dyDescent="0.3">
      <c r="A15" s="382" t="s">
        <v>491</v>
      </c>
      <c r="B15" s="383">
        <f>'CASH FLOW'!B36-'CASH FLOW'!B38</f>
        <v>0</v>
      </c>
      <c r="C15" s="383">
        <f>'CASH FLOW'!C36-'CASH FLOW'!C38</f>
        <v>0</v>
      </c>
      <c r="D15" s="383">
        <f>'CASH FLOW'!D36-'CASH FLOW'!D38</f>
        <v>0</v>
      </c>
      <c r="E15" s="383">
        <f>'CASH FLOW'!E36-'CASH FLOW'!E38</f>
        <v>0</v>
      </c>
      <c r="F15" s="383">
        <f>'CASH FLOW'!F36-'CASH FLOW'!F38</f>
        <v>0</v>
      </c>
      <c r="G15" s="383">
        <f>'CASH FLOW'!G36-'CASH FLOW'!G38</f>
        <v>0</v>
      </c>
      <c r="H15" s="383">
        <f>'CASH FLOW'!H36-'CASH FLOW'!H38</f>
        <v>0</v>
      </c>
      <c r="I15" s="383">
        <f>'CASH FLOW'!I36-'CASH FLOW'!I38</f>
        <v>0</v>
      </c>
      <c r="J15" s="383">
        <f>'CASH FLOW'!J36-'CASH FLOW'!J38</f>
        <v>0</v>
      </c>
      <c r="K15" s="383">
        <f>'CASH FLOW'!K36-'CASH FLOW'!K38</f>
        <v>0</v>
      </c>
      <c r="L15" s="383">
        <f>'CASH FLOW'!L36-'CASH FLOW'!L38</f>
        <v>0</v>
      </c>
      <c r="M15" s="383">
        <f>'CASH FLOW'!M36-'CASH FLOW'!M38</f>
        <v>0</v>
      </c>
      <c r="N15" s="383">
        <f>'CASH FLOW'!N36-'CASH FLOW'!N38</f>
        <v>0</v>
      </c>
      <c r="O15" s="383">
        <f>'CASH FLOW'!O36-'CASH FLOW'!O38</f>
        <v>0</v>
      </c>
      <c r="P15" s="384"/>
      <c r="Q15" s="385" t="e">
        <f>IRR((B15:O15),5%)</f>
        <v>#NUM!</v>
      </c>
    </row>
    <row r="16" spans="1:17" ht="13.8" thickBot="1" x14ac:dyDescent="0.3"/>
    <row r="17" spans="1:17" ht="12" customHeight="1" x14ac:dyDescent="0.25">
      <c r="A17" s="376" t="s">
        <v>492</v>
      </c>
      <c r="B17" s="377"/>
      <c r="C17" s="377"/>
      <c r="D17" s="377"/>
      <c r="E17" s="377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1" t="s">
        <v>485</v>
      </c>
    </row>
    <row r="18" spans="1:17" ht="0.75" hidden="1" customHeight="1" x14ac:dyDescent="0.25">
      <c r="A18" s="378"/>
      <c r="B18" s="329">
        <v>-4075.2</v>
      </c>
      <c r="C18" s="329">
        <v>-4075.2</v>
      </c>
      <c r="D18" s="329">
        <v>-4075.2</v>
      </c>
      <c r="E18" s="329">
        <v>-4075.2</v>
      </c>
      <c r="F18" s="329">
        <v>-4414.8</v>
      </c>
      <c r="G18" s="329">
        <v>-4754.4000000000005</v>
      </c>
      <c r="H18" s="329">
        <v>-5094.0000000000009</v>
      </c>
      <c r="I18" s="329">
        <v>-8150.4000000000015</v>
      </c>
      <c r="J18" s="329">
        <v>-45173.875</v>
      </c>
      <c r="K18" s="329">
        <v>-45513.474999999999</v>
      </c>
      <c r="L18" s="329">
        <v>-60594.450666666664</v>
      </c>
      <c r="M18" s="329">
        <v>-60934.050666666662</v>
      </c>
      <c r="N18" s="329">
        <v>-64669.650666666661</v>
      </c>
      <c r="O18" s="329">
        <v>3483.0130666666737</v>
      </c>
      <c r="P18" s="329"/>
      <c r="Q18" s="373"/>
    </row>
    <row r="19" spans="1:17" hidden="1" x14ac:dyDescent="0.25">
      <c r="A19" s="379" t="s">
        <v>215</v>
      </c>
      <c r="B19" s="331">
        <v>0</v>
      </c>
      <c r="C19" s="331">
        <v>0</v>
      </c>
      <c r="D19" s="331">
        <v>0</v>
      </c>
      <c r="E19" s="331">
        <v>0</v>
      </c>
      <c r="F19" s="331">
        <v>0</v>
      </c>
      <c r="G19" s="331">
        <v>0</v>
      </c>
      <c r="H19" s="331">
        <v>0</v>
      </c>
      <c r="I19" s="331">
        <v>0</v>
      </c>
      <c r="J19" s="331">
        <v>0</v>
      </c>
      <c r="K19" s="331">
        <v>0</v>
      </c>
      <c r="L19" s="331">
        <v>0</v>
      </c>
      <c r="M19" s="331">
        <v>0</v>
      </c>
      <c r="N19" s="331">
        <v>0</v>
      </c>
      <c r="O19" s="331">
        <v>101880</v>
      </c>
      <c r="P19" s="331">
        <v>101880</v>
      </c>
      <c r="Q19" s="373"/>
    </row>
    <row r="20" spans="1:17" hidden="1" x14ac:dyDescent="0.25">
      <c r="A20" s="380" t="s">
        <v>216</v>
      </c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>
        <v>101880</v>
      </c>
      <c r="P20" s="329">
        <v>101880</v>
      </c>
      <c r="Q20" s="373"/>
    </row>
    <row r="21" spans="1:17" hidden="1" x14ac:dyDescent="0.25">
      <c r="A21" s="381" t="s">
        <v>217</v>
      </c>
      <c r="B21" s="335">
        <v>4075.2</v>
      </c>
      <c r="C21" s="335">
        <v>0</v>
      </c>
      <c r="D21" s="335">
        <v>0</v>
      </c>
      <c r="E21" s="335">
        <v>0</v>
      </c>
      <c r="F21" s="335">
        <v>339.6</v>
      </c>
      <c r="G21" s="335">
        <v>339.6</v>
      </c>
      <c r="H21" s="335">
        <v>339.6</v>
      </c>
      <c r="I21" s="335">
        <v>3056.4</v>
      </c>
      <c r="J21" s="335">
        <v>37023.474999999999</v>
      </c>
      <c r="K21" s="335">
        <v>339.6</v>
      </c>
      <c r="L21" s="335">
        <v>15080.975666666667</v>
      </c>
      <c r="M21" s="335">
        <v>339.6</v>
      </c>
      <c r="N21" s="335">
        <v>3735.6</v>
      </c>
      <c r="O21" s="335">
        <v>33727.336266666665</v>
      </c>
      <c r="P21" s="335">
        <v>98396.986933333334</v>
      </c>
      <c r="Q21" s="373"/>
    </row>
    <row r="22" spans="1:17" hidden="1" x14ac:dyDescent="0.25">
      <c r="A22" s="380" t="s">
        <v>206</v>
      </c>
      <c r="B22" s="329">
        <v>4075.2</v>
      </c>
      <c r="C22" s="329"/>
      <c r="D22" s="329"/>
      <c r="E22" s="329"/>
      <c r="F22" s="329"/>
      <c r="G22" s="329"/>
      <c r="H22" s="329"/>
      <c r="I22" s="329">
        <v>2716.8</v>
      </c>
      <c r="J22" s="329"/>
      <c r="K22" s="329"/>
      <c r="L22" s="329">
        <v>3396</v>
      </c>
      <c r="M22" s="329"/>
      <c r="N22" s="329">
        <v>3396</v>
      </c>
      <c r="O22" s="329"/>
      <c r="P22" s="329">
        <v>13584</v>
      </c>
      <c r="Q22" s="373"/>
    </row>
    <row r="23" spans="1:17" hidden="1" x14ac:dyDescent="0.25">
      <c r="A23" s="380" t="s">
        <v>204</v>
      </c>
      <c r="B23" s="329"/>
      <c r="C23" s="329"/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17546</v>
      </c>
      <c r="K23" s="329">
        <v>0</v>
      </c>
      <c r="L23" s="329">
        <v>4716.666666666667</v>
      </c>
      <c r="M23" s="329">
        <v>0</v>
      </c>
      <c r="N23" s="329">
        <v>0</v>
      </c>
      <c r="O23" s="329">
        <v>0</v>
      </c>
      <c r="P23" s="329">
        <v>22262.666666666668</v>
      </c>
      <c r="Q23" s="373"/>
    </row>
    <row r="24" spans="1:17" hidden="1" x14ac:dyDescent="0.25">
      <c r="A24" s="380" t="s">
        <v>218</v>
      </c>
      <c r="B24" s="329"/>
      <c r="C24" s="329"/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7534.875</v>
      </c>
      <c r="K24" s="329">
        <v>0</v>
      </c>
      <c r="L24" s="329">
        <v>6628.7089999999989</v>
      </c>
      <c r="M24" s="329">
        <v>0</v>
      </c>
      <c r="N24" s="329">
        <v>0</v>
      </c>
      <c r="O24" s="329">
        <v>0</v>
      </c>
      <c r="P24" s="329">
        <v>14163.583999999999</v>
      </c>
      <c r="Q24" s="373"/>
    </row>
    <row r="25" spans="1:17" hidden="1" x14ac:dyDescent="0.25">
      <c r="A25" s="380" t="s">
        <v>205</v>
      </c>
      <c r="B25" s="329"/>
      <c r="C25" s="329"/>
      <c r="D25" s="329"/>
      <c r="E25" s="329"/>
      <c r="F25" s="329"/>
      <c r="G25" s="329"/>
      <c r="H25" s="329"/>
      <c r="I25" s="329"/>
      <c r="J25" s="329">
        <v>11603</v>
      </c>
      <c r="K25" s="329"/>
      <c r="L25" s="329"/>
      <c r="M25" s="329"/>
      <c r="N25" s="329"/>
      <c r="O25" s="329"/>
      <c r="P25" s="329">
        <v>11603</v>
      </c>
      <c r="Q25" s="373"/>
    </row>
    <row r="26" spans="1:17" hidden="1" x14ac:dyDescent="0.25">
      <c r="A26" s="380" t="s">
        <v>220</v>
      </c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>
        <v>31838.914999999997</v>
      </c>
      <c r="P26" s="329">
        <v>31838.914999999997</v>
      </c>
      <c r="Q26" s="373"/>
    </row>
    <row r="27" spans="1:17" hidden="1" x14ac:dyDescent="0.25">
      <c r="A27" s="380" t="s">
        <v>207</v>
      </c>
      <c r="B27" s="329"/>
      <c r="C27" s="329"/>
      <c r="D27" s="329"/>
      <c r="E27" s="329"/>
      <c r="F27" s="329">
        <v>339.6</v>
      </c>
      <c r="G27" s="329">
        <v>339.6</v>
      </c>
      <c r="H27" s="329">
        <v>339.6</v>
      </c>
      <c r="I27" s="329">
        <v>339.6</v>
      </c>
      <c r="J27" s="329">
        <v>339.6</v>
      </c>
      <c r="K27" s="329">
        <v>339.6</v>
      </c>
      <c r="L27" s="329">
        <v>339.6</v>
      </c>
      <c r="M27" s="329">
        <v>339.6</v>
      </c>
      <c r="N27" s="329">
        <v>339.6</v>
      </c>
      <c r="O27" s="329">
        <v>339.6</v>
      </c>
      <c r="P27" s="329">
        <v>3395.9999999999995</v>
      </c>
      <c r="Q27" s="373"/>
    </row>
    <row r="28" spans="1:17" hidden="1" x14ac:dyDescent="0.25">
      <c r="A28" s="380" t="s">
        <v>221</v>
      </c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>
        <v>1548.8212666666668</v>
      </c>
      <c r="P28" s="329">
        <v>1548.8212666666668</v>
      </c>
      <c r="Q28" s="373"/>
    </row>
    <row r="29" spans="1:17" ht="13.8" thickBot="1" x14ac:dyDescent="0.3">
      <c r="A29" s="382" t="s">
        <v>491</v>
      </c>
      <c r="B29" s="383">
        <f>'CASH FLOW'!B50-'CASH FLOW'!B52</f>
        <v>0</v>
      </c>
      <c r="C29" s="383">
        <f>'CASH FLOW'!C50-'CASH FLOW'!C52</f>
        <v>0</v>
      </c>
      <c r="D29" s="383">
        <f>'CASH FLOW'!D50-'CASH FLOW'!D52</f>
        <v>0</v>
      </c>
      <c r="E29" s="383">
        <f>'CASH FLOW'!E50-'CASH FLOW'!E52</f>
        <v>0</v>
      </c>
      <c r="F29" s="383">
        <f>'CASH FLOW'!F50-'CASH FLOW'!F52</f>
        <v>0</v>
      </c>
      <c r="G29" s="383">
        <f>'CASH FLOW'!G50-'CASH FLOW'!G52</f>
        <v>0</v>
      </c>
      <c r="H29" s="383">
        <f>'CASH FLOW'!H50-'CASH FLOW'!H52</f>
        <v>0</v>
      </c>
      <c r="I29" s="383">
        <f>'CASH FLOW'!I50-'CASH FLOW'!I52</f>
        <v>0</v>
      </c>
      <c r="J29" s="383">
        <f>'CASH FLOW'!J50-'CASH FLOW'!J52</f>
        <v>0</v>
      </c>
      <c r="K29" s="383">
        <f>'CASH FLOW'!K50-'CASH FLOW'!K52</f>
        <v>0</v>
      </c>
      <c r="L29" s="383">
        <f>'CASH FLOW'!L50-'CASH FLOW'!L52</f>
        <v>0</v>
      </c>
      <c r="M29" s="383">
        <f>'CASH FLOW'!M50-'CASH FLOW'!M52</f>
        <v>0</v>
      </c>
      <c r="N29" s="383">
        <f>'CASH FLOW'!N50-'CASH FLOW'!N52</f>
        <v>0</v>
      </c>
      <c r="O29" s="383">
        <f>'CASH FLOW'!O50-'CASH FLOW'!O52</f>
        <v>0</v>
      </c>
      <c r="P29" s="384"/>
      <c r="Q29" s="385" t="e">
        <f>IRR((B29:O29),-15%)</f>
        <v>#NUM!</v>
      </c>
    </row>
    <row r="30" spans="1:17" ht="13.8" thickBot="1" x14ac:dyDescent="0.3"/>
    <row r="31" spans="1:17" x14ac:dyDescent="0.25">
      <c r="A31" s="376" t="s">
        <v>230</v>
      </c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86" t="s">
        <v>485</v>
      </c>
    </row>
    <row r="32" spans="1:17" hidden="1" x14ac:dyDescent="0.25">
      <c r="A32" s="387"/>
      <c r="B32" s="329">
        <v>-22536</v>
      </c>
      <c r="C32" s="329">
        <v>-24414</v>
      </c>
      <c r="D32" s="329">
        <v>-29364.616666666669</v>
      </c>
      <c r="E32" s="329">
        <v>-31242.616666666669</v>
      </c>
      <c r="F32" s="329">
        <v>-33120.616666666669</v>
      </c>
      <c r="G32" s="329">
        <v>-52901.17333333334</v>
      </c>
      <c r="H32" s="329">
        <v>-89337.503333333341</v>
      </c>
      <c r="I32" s="329">
        <v>-115021.26608333335</v>
      </c>
      <c r="J32" s="329">
        <v>-137616.05719444447</v>
      </c>
      <c r="K32" s="329">
        <v>-139494.05719444447</v>
      </c>
      <c r="L32" s="329">
        <v>-213461.07896994447</v>
      </c>
      <c r="M32" s="329">
        <v>-213461.07896994447</v>
      </c>
      <c r="N32" s="329">
        <v>-232241.07896994447</v>
      </c>
      <c r="O32" s="329">
        <v>60301.241030055535</v>
      </c>
      <c r="P32" s="329">
        <v>-1273909.9030186669</v>
      </c>
      <c r="Q32" s="373"/>
    </row>
    <row r="33" spans="1:17" hidden="1" x14ac:dyDescent="0.25">
      <c r="A33" s="379" t="s">
        <v>215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292542.32</v>
      </c>
      <c r="P33" s="331">
        <v>292542.32</v>
      </c>
      <c r="Q33" s="373"/>
    </row>
    <row r="34" spans="1:17" hidden="1" x14ac:dyDescent="0.25">
      <c r="A34" s="380" t="s">
        <v>216</v>
      </c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>
        <v>292542.32</v>
      </c>
      <c r="P34" s="329">
        <v>292542.32</v>
      </c>
      <c r="Q34" s="373"/>
    </row>
    <row r="35" spans="1:17" hidden="1" x14ac:dyDescent="0.25">
      <c r="A35" s="381" t="s">
        <v>217</v>
      </c>
      <c r="B35" s="335">
        <v>22536</v>
      </c>
      <c r="C35" s="335">
        <v>1878</v>
      </c>
      <c r="D35" s="335">
        <v>4950.6166666666668</v>
      </c>
      <c r="E35" s="335">
        <v>1878</v>
      </c>
      <c r="F35" s="335">
        <v>1878</v>
      </c>
      <c r="G35" s="335">
        <v>19780.556666666667</v>
      </c>
      <c r="H35" s="335">
        <v>36436.33</v>
      </c>
      <c r="I35" s="335">
        <v>25683.762750000002</v>
      </c>
      <c r="J35" s="335">
        <v>22594.791111111113</v>
      </c>
      <c r="K35" s="335">
        <v>1878</v>
      </c>
      <c r="L35" s="335">
        <v>73967.021775500005</v>
      </c>
      <c r="M35" s="335">
        <v>0</v>
      </c>
      <c r="N35" s="335">
        <v>18780</v>
      </c>
      <c r="O35" s="335">
        <v>0</v>
      </c>
      <c r="P35" s="335">
        <v>232241.07896994447</v>
      </c>
      <c r="Q35" s="373"/>
    </row>
    <row r="36" spans="1:17" hidden="1" x14ac:dyDescent="0.25">
      <c r="A36" s="380" t="s">
        <v>206</v>
      </c>
      <c r="B36" s="329">
        <v>22536</v>
      </c>
      <c r="C36" s="329"/>
      <c r="D36" s="329"/>
      <c r="E36" s="329"/>
      <c r="F36" s="329"/>
      <c r="G36" s="329"/>
      <c r="H36" s="329"/>
      <c r="I36" s="329">
        <v>15024</v>
      </c>
      <c r="J36" s="329"/>
      <c r="K36" s="329"/>
      <c r="L36" s="329">
        <v>18780</v>
      </c>
      <c r="M36" s="329"/>
      <c r="N36" s="329">
        <v>18780</v>
      </c>
      <c r="O36" s="329"/>
      <c r="P36" s="329">
        <v>75120</v>
      </c>
      <c r="Q36" s="373"/>
    </row>
    <row r="37" spans="1:17" hidden="1" x14ac:dyDescent="0.25">
      <c r="A37" s="380" t="s">
        <v>204</v>
      </c>
      <c r="B37" s="329"/>
      <c r="C37" s="329">
        <v>0</v>
      </c>
      <c r="D37" s="329">
        <v>2086.666666666667</v>
      </c>
      <c r="E37" s="329">
        <v>0</v>
      </c>
      <c r="F37" s="329">
        <v>0</v>
      </c>
      <c r="G37" s="329">
        <v>3995.9666666666672</v>
      </c>
      <c r="H37" s="329">
        <v>19093</v>
      </c>
      <c r="I37" s="329"/>
      <c r="J37" s="329">
        <v>4521.1111111111113</v>
      </c>
      <c r="K37" s="329">
        <v>0</v>
      </c>
      <c r="L37" s="329">
        <v>0</v>
      </c>
      <c r="M37" s="329">
        <v>0</v>
      </c>
      <c r="N37" s="329"/>
      <c r="O37" s="329"/>
      <c r="P37" s="329">
        <v>29696.744444444448</v>
      </c>
      <c r="Q37" s="373"/>
    </row>
    <row r="38" spans="1:17" hidden="1" x14ac:dyDescent="0.25">
      <c r="A38" s="380" t="s">
        <v>218</v>
      </c>
      <c r="B38" s="329"/>
      <c r="C38" s="329">
        <v>0</v>
      </c>
      <c r="D38" s="329">
        <v>985.94999999999993</v>
      </c>
      <c r="E38" s="329">
        <v>0</v>
      </c>
      <c r="F38" s="329">
        <v>0</v>
      </c>
      <c r="G38" s="329">
        <v>13906.59</v>
      </c>
      <c r="H38" s="329">
        <v>15465.329999999998</v>
      </c>
      <c r="I38" s="329">
        <v>0</v>
      </c>
      <c r="J38" s="329">
        <v>1552.4800000000002</v>
      </c>
      <c r="K38" s="329">
        <v>0</v>
      </c>
      <c r="L38" s="329">
        <v>0</v>
      </c>
      <c r="M38" s="329"/>
      <c r="N38" s="329"/>
      <c r="O38" s="329"/>
      <c r="P38" s="329">
        <v>31910.35</v>
      </c>
      <c r="Q38" s="373"/>
    </row>
    <row r="39" spans="1:17" hidden="1" x14ac:dyDescent="0.25">
      <c r="A39" s="380" t="s">
        <v>205</v>
      </c>
      <c r="B39" s="329"/>
      <c r="C39" s="329"/>
      <c r="D39" s="329"/>
      <c r="E39" s="329"/>
      <c r="F39" s="329"/>
      <c r="G39" s="329"/>
      <c r="H39" s="329"/>
      <c r="I39" s="329"/>
      <c r="J39" s="329">
        <v>14643.2</v>
      </c>
      <c r="K39" s="329"/>
      <c r="L39" s="329"/>
      <c r="M39" s="329"/>
      <c r="N39" s="329"/>
      <c r="O39" s="329"/>
      <c r="P39" s="329">
        <v>14643.2</v>
      </c>
      <c r="Q39" s="373"/>
    </row>
    <row r="40" spans="1:17" hidden="1" x14ac:dyDescent="0.25">
      <c r="A40" s="380" t="s">
        <v>140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8781.7627499999999</v>
      </c>
      <c r="J40" s="329"/>
      <c r="K40" s="329"/>
      <c r="L40" s="329"/>
      <c r="M40" s="329"/>
      <c r="N40" s="329"/>
      <c r="O40" s="329"/>
      <c r="P40" s="329">
        <v>8781.7627499999999</v>
      </c>
      <c r="Q40" s="373"/>
    </row>
    <row r="41" spans="1:17" hidden="1" x14ac:dyDescent="0.25">
      <c r="A41" s="380" t="s">
        <v>220</v>
      </c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>
        <v>46170.421333333332</v>
      </c>
      <c r="M41" s="329"/>
      <c r="N41" s="329"/>
      <c r="O41" s="329"/>
      <c r="P41" s="329">
        <v>46170.421333333332</v>
      </c>
      <c r="Q41" s="373"/>
    </row>
    <row r="42" spans="1:17" hidden="1" x14ac:dyDescent="0.25">
      <c r="A42" s="380" t="s">
        <v>207</v>
      </c>
      <c r="B42" s="329"/>
      <c r="C42" s="329">
        <v>1878</v>
      </c>
      <c r="D42" s="329">
        <v>1878</v>
      </c>
      <c r="E42" s="329">
        <v>1878</v>
      </c>
      <c r="F42" s="329">
        <v>1878</v>
      </c>
      <c r="G42" s="329">
        <v>1878</v>
      </c>
      <c r="H42" s="329">
        <v>1878</v>
      </c>
      <c r="I42" s="329">
        <v>1878</v>
      </c>
      <c r="J42" s="329">
        <v>1878</v>
      </c>
      <c r="K42" s="329">
        <v>1878</v>
      </c>
      <c r="L42" s="329">
        <v>1878</v>
      </c>
      <c r="M42" s="329"/>
      <c r="N42" s="329"/>
      <c r="O42" s="329"/>
      <c r="P42" s="329">
        <v>18780</v>
      </c>
      <c r="Q42" s="373"/>
    </row>
    <row r="43" spans="1:17" hidden="1" x14ac:dyDescent="0.25">
      <c r="A43" s="380" t="s">
        <v>221</v>
      </c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>
        <v>7138.6004421666676</v>
      </c>
      <c r="M43" s="329"/>
      <c r="N43" s="329"/>
      <c r="O43" s="329"/>
      <c r="P43" s="329">
        <v>7138.6004421666676</v>
      </c>
      <c r="Q43" s="373"/>
    </row>
    <row r="44" spans="1:17" ht="13.8" thickBot="1" x14ac:dyDescent="0.3">
      <c r="A44" s="382" t="s">
        <v>491</v>
      </c>
      <c r="B44" s="383">
        <f>'CASH FLOW'!B130</f>
        <v>0</v>
      </c>
      <c r="C44" s="383">
        <f ca="1">'CASH FLOW'!C130</f>
        <v>0</v>
      </c>
      <c r="D44" s="383">
        <f ca="1">'CASH FLOW'!D130</f>
        <v>0</v>
      </c>
      <c r="E44" s="383">
        <f ca="1">'CASH FLOW'!E130</f>
        <v>0</v>
      </c>
      <c r="F44" s="383">
        <f ca="1">'CASH FLOW'!F130</f>
        <v>0</v>
      </c>
      <c r="G44" s="383">
        <f ca="1">'CASH FLOW'!G130</f>
        <v>0</v>
      </c>
      <c r="H44" s="383">
        <f ca="1">'CASH FLOW'!H130</f>
        <v>0</v>
      </c>
      <c r="I44" s="383">
        <f ca="1">'CASH FLOW'!I130</f>
        <v>0</v>
      </c>
      <c r="J44" s="383">
        <f ca="1">'CASH FLOW'!J130</f>
        <v>0</v>
      </c>
      <c r="K44" s="383">
        <f ca="1">'CASH FLOW'!K130</f>
        <v>0</v>
      </c>
      <c r="L44" s="383">
        <f ca="1">'CASH FLOW'!L130</f>
        <v>0</v>
      </c>
      <c r="M44" s="383">
        <f>'CASH FLOW'!M130</f>
        <v>0</v>
      </c>
      <c r="N44" s="383">
        <f>'CASH FLOW'!N130</f>
        <v>0</v>
      </c>
      <c r="O44" s="383">
        <f>'CASH FLOW'!O130</f>
        <v>0</v>
      </c>
      <c r="P44" s="384"/>
      <c r="Q44" s="385" t="e">
        <f ca="1">IRR((B44:O44),5%)</f>
        <v>#NUM!</v>
      </c>
    </row>
    <row r="46" spans="1:17" x14ac:dyDescent="0.25">
      <c r="A46" s="333" t="s">
        <v>493</v>
      </c>
      <c r="B46" s="364">
        <f>B15+B29+B44+B68</f>
        <v>0</v>
      </c>
      <c r="C46" s="364">
        <f t="shared" ref="C46:O46" ca="1" si="0">C15+C29+C44+C68</f>
        <v>0</v>
      </c>
      <c r="D46" s="364">
        <f t="shared" ca="1" si="0"/>
        <v>0</v>
      </c>
      <c r="E46" s="364">
        <f t="shared" ca="1" si="0"/>
        <v>0</v>
      </c>
      <c r="F46" s="364">
        <f t="shared" ca="1" si="0"/>
        <v>0</v>
      </c>
      <c r="G46" s="364">
        <f t="shared" ca="1" si="0"/>
        <v>0</v>
      </c>
      <c r="H46" s="364">
        <f t="shared" ca="1" si="0"/>
        <v>0</v>
      </c>
      <c r="I46" s="364">
        <f t="shared" ca="1" si="0"/>
        <v>0</v>
      </c>
      <c r="J46" s="364">
        <f t="shared" ca="1" si="0"/>
        <v>0</v>
      </c>
      <c r="K46" s="364">
        <f t="shared" ca="1" si="0"/>
        <v>0</v>
      </c>
      <c r="L46" s="364">
        <f t="shared" ca="1" si="0"/>
        <v>0</v>
      </c>
      <c r="M46" s="364">
        <f t="shared" si="0"/>
        <v>0</v>
      </c>
      <c r="N46" s="364">
        <f t="shared" si="0"/>
        <v>0</v>
      </c>
      <c r="O46" s="364">
        <f t="shared" si="0"/>
        <v>0</v>
      </c>
      <c r="Q46" s="365" t="e">
        <f ca="1">IRR((B46:O46),5%)</f>
        <v>#NUM!</v>
      </c>
    </row>
    <row r="47" spans="1:17" ht="13.8" thickBot="1" x14ac:dyDescent="0.3"/>
    <row r="48" spans="1:17" x14ac:dyDescent="0.25">
      <c r="A48" s="376" t="s">
        <v>214</v>
      </c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77"/>
      <c r="Q48" s="371" t="s">
        <v>485</v>
      </c>
    </row>
    <row r="49" spans="1:17" hidden="1" x14ac:dyDescent="0.25">
      <c r="A49" s="378"/>
      <c r="B49" s="316">
        <f>B48</f>
        <v>0</v>
      </c>
      <c r="C49" s="316">
        <f>B49+C48</f>
        <v>0</v>
      </c>
      <c r="D49" s="316">
        <f>C49+D48</f>
        <v>0</v>
      </c>
      <c r="E49" s="316">
        <f t="shared" ref="E49:M49" si="1">D49+E48</f>
        <v>0</v>
      </c>
      <c r="F49" s="316">
        <f t="shared" si="1"/>
        <v>0</v>
      </c>
      <c r="G49" s="316">
        <f t="shared" si="1"/>
        <v>0</v>
      </c>
      <c r="H49" s="316">
        <f t="shared" si="1"/>
        <v>0</v>
      </c>
      <c r="I49" s="316">
        <f t="shared" si="1"/>
        <v>0</v>
      </c>
      <c r="J49" s="316">
        <f t="shared" si="1"/>
        <v>0</v>
      </c>
      <c r="K49" s="316">
        <f t="shared" si="1"/>
        <v>0</v>
      </c>
      <c r="L49" s="316">
        <f t="shared" si="1"/>
        <v>0</v>
      </c>
      <c r="M49" s="316">
        <f t="shared" si="1"/>
        <v>0</v>
      </c>
      <c r="N49" s="316">
        <f>M49+N48</f>
        <v>0</v>
      </c>
      <c r="O49" s="316">
        <f>N49+O48</f>
        <v>0</v>
      </c>
      <c r="P49" s="329"/>
      <c r="Q49" s="373"/>
    </row>
    <row r="50" spans="1:17" hidden="1" x14ac:dyDescent="0.25">
      <c r="A50" s="389" t="s">
        <v>215</v>
      </c>
      <c r="B50" s="331">
        <f t="shared" ref="B50:O50" si="2">B51</f>
        <v>0</v>
      </c>
      <c r="C50" s="331">
        <f t="shared" si="2"/>
        <v>0</v>
      </c>
      <c r="D50" s="331">
        <f t="shared" si="2"/>
        <v>0</v>
      </c>
      <c r="E50" s="331">
        <f t="shared" si="2"/>
        <v>0</v>
      </c>
      <c r="F50" s="331">
        <f t="shared" si="2"/>
        <v>0</v>
      </c>
      <c r="G50" s="331">
        <f t="shared" si="2"/>
        <v>0</v>
      </c>
      <c r="H50" s="331">
        <f t="shared" si="2"/>
        <v>0</v>
      </c>
      <c r="I50" s="331">
        <f t="shared" si="2"/>
        <v>0</v>
      </c>
      <c r="J50" s="331">
        <f t="shared" si="2"/>
        <v>0</v>
      </c>
      <c r="K50" s="331">
        <f t="shared" si="2"/>
        <v>0</v>
      </c>
      <c r="L50" s="331">
        <f t="shared" si="2"/>
        <v>0</v>
      </c>
      <c r="M50" s="331">
        <f t="shared" si="2"/>
        <v>0</v>
      </c>
      <c r="N50" s="331">
        <f t="shared" si="2"/>
        <v>0</v>
      </c>
      <c r="O50" s="331">
        <f t="shared" si="2"/>
        <v>0</v>
      </c>
      <c r="P50" s="332">
        <f t="shared" ref="P50:P60" si="3">SUM(B50:O50)</f>
        <v>0</v>
      </c>
      <c r="Q50" s="373"/>
    </row>
    <row r="51" spans="1:17" hidden="1" x14ac:dyDescent="0.25">
      <c r="A51" s="380" t="s">
        <v>216</v>
      </c>
      <c r="B51" s="329"/>
      <c r="C51" s="329"/>
      <c r="D51" s="329"/>
      <c r="E51" s="329"/>
      <c r="F51" s="329"/>
      <c r="G51" s="329"/>
      <c r="H51" s="329"/>
      <c r="I51" s="329"/>
      <c r="J51" s="329">
        <f>('Trigo SP'!B120*'Trigo SP'!B45)*0.52</f>
        <v>0</v>
      </c>
      <c r="K51" s="329"/>
      <c r="L51" s="329"/>
      <c r="M51" s="329"/>
      <c r="N51" s="329"/>
      <c r="O51" s="329">
        <f>+('Trigo SP'!B120*'Trigo SP'!B45)*0.48</f>
        <v>0</v>
      </c>
      <c r="P51" s="329">
        <f t="shared" si="3"/>
        <v>0</v>
      </c>
      <c r="Q51" s="373"/>
    </row>
    <row r="52" spans="1:17" hidden="1" x14ac:dyDescent="0.25">
      <c r="A52" s="390" t="s">
        <v>217</v>
      </c>
      <c r="B52" s="335">
        <f>SUM(B53:B60)</f>
        <v>0</v>
      </c>
      <c r="C52" s="335">
        <f t="shared" ref="C52:K52" si="4">SUM(C53:C60)</f>
        <v>0</v>
      </c>
      <c r="D52" s="335">
        <f t="shared" si="4"/>
        <v>37483.75</v>
      </c>
      <c r="E52" s="335">
        <f t="shared" si="4"/>
        <v>20833.5</v>
      </c>
      <c r="F52" s="335">
        <f t="shared" si="4"/>
        <v>0</v>
      </c>
      <c r="G52" s="335">
        <f t="shared" si="4"/>
        <v>0</v>
      </c>
      <c r="H52" s="335">
        <f t="shared" si="4"/>
        <v>4875.13</v>
      </c>
      <c r="I52" s="335" t="e">
        <f t="shared" si="4"/>
        <v>#VALUE!</v>
      </c>
      <c r="J52" s="335" t="e">
        <f t="shared" si="4"/>
        <v>#VALUE!</v>
      </c>
      <c r="K52" s="335" t="e">
        <f t="shared" si="4"/>
        <v>#VALUE!</v>
      </c>
      <c r="L52" s="335" t="e">
        <f>SUM(L53:L60)</f>
        <v>#VALUE!</v>
      </c>
      <c r="M52" s="335">
        <f>SUM(M53:M60)</f>
        <v>4910.91</v>
      </c>
      <c r="N52" s="335">
        <f>SUM(N53:N60)</f>
        <v>0</v>
      </c>
      <c r="O52" s="335">
        <f>SUM(O53:O60)</f>
        <v>0</v>
      </c>
      <c r="P52" s="336" t="e">
        <f>SUM(B52:O52)</f>
        <v>#VALUE!</v>
      </c>
      <c r="Q52" s="373"/>
    </row>
    <row r="53" spans="1:17" hidden="1" x14ac:dyDescent="0.25">
      <c r="A53" s="380" t="s">
        <v>206</v>
      </c>
      <c r="B53" s="329"/>
      <c r="C53" s="329"/>
      <c r="D53" s="329">
        <v>37483.75</v>
      </c>
      <c r="E53" s="329">
        <v>20833.5</v>
      </c>
      <c r="F53" s="329"/>
      <c r="G53" s="329"/>
      <c r="H53" s="329">
        <v>4875.13</v>
      </c>
      <c r="I53" s="329"/>
      <c r="J53" s="329">
        <v>39496.15</v>
      </c>
      <c r="K53" s="329"/>
      <c r="L53" s="329">
        <v>27632.12</v>
      </c>
      <c r="M53" s="329">
        <v>4910.91</v>
      </c>
      <c r="N53" s="329"/>
      <c r="O53" s="329"/>
      <c r="P53" s="329">
        <f t="shared" si="3"/>
        <v>135231.56</v>
      </c>
      <c r="Q53" s="373"/>
    </row>
    <row r="54" spans="1:17" hidden="1" x14ac:dyDescent="0.25">
      <c r="A54" s="380" t="s">
        <v>204</v>
      </c>
      <c r="B54" s="329">
        <f>(SUMIF('Trigo SP'!J51:J53,"MAYO",'Trigo SP'!E51:E69)*'Trigo SP'!B45)+(SUMIF('Trigo SS'!J49:J60,"MAYO",'Trigo SS'!E49:E60)*'Trigo SS'!B44)</f>
        <v>0</v>
      </c>
      <c r="C54" s="329">
        <f>(SUMIF('Trigo SP'!J51:J53,"JUNIO",'Trigo SP'!E51:E69)*'Trigo SP'!B45)+(SUMIF('Trigo SS'!J49:J60,"JUNIO",'Trigo SS'!E49:E60)*'Trigo SS'!B44)</f>
        <v>0</v>
      </c>
      <c r="D54" s="329">
        <f>(SUMIF('Trigo SP'!J51:J53,"JULIO",'Trigo SP'!E51:E69)*'Trigo SP'!B45)+(SUMIF('Trigo SS'!J49:J60,"JULIO",'Trigo SS'!E49:E60)*'Trigo SS'!B44)+(SUMIF('Trigo SS'!J49:J60,"JULIO/SEPTIEMBRE",'Trigo SS'!E49:E60)*'Trigo SS'!B44*0.5)+(SUMIF('Trigo SP'!J51:J53,"JULIO/SEPTIEMBRE",'Trigo SP'!E51:E69)*'Trigo SP'!B45*0.5)</f>
        <v>0</v>
      </c>
      <c r="E54" s="329">
        <f>(SUMIF('Trigo SP'!J51:J53,"AGOSTO",'Trigo SP'!E51:E69)*'Trigo SP'!B45)+(SUMIF('Trigo SS'!J49:J60,"AGOSTO",'Trigo SS'!E49:E60)*'Trigo SS'!B44)</f>
        <v>0</v>
      </c>
      <c r="F54" s="329">
        <f>(SUMIF('Trigo SP'!K51:K53,"SEPTIEMBRE",'Trigo SP'!F51:F69)*'Trigo SP'!B45)+(SUMIF('Trigo SS'!K49:K60,"SEPTIEMBRE",'Trigo SS'!F49:F60)*'Trigo SS'!B44)+(SUMIF('Trigo SS'!J49:J60,"JULIO/SEPTIEMBRE",'Trigo SS'!E49:E60)*'Trigo SS'!B44*0.5)+(SUMIF('Trigo SP'!J51:J53,"JULIO/SEPTIEMBRE",'Trigo SP'!E51:E69)*'Trigo SP'!B45*0.5)</f>
        <v>0</v>
      </c>
      <c r="G54" s="329">
        <f>(SUMIF('Trigo SP'!K51:K53,"OCTUBRE",'Trigo SP'!F51:F69)*'Trigo SP'!B45)+(SUMIF('Trigo SS'!K49:K60,"OCTUBRE",'Trigo SS'!F49:F60)*'Trigo SS'!B44)</f>
        <v>0</v>
      </c>
      <c r="H54" s="329">
        <f>(SUMIF('Trigo SP'!K51:K53,"NOVIEMBRE",'Trigo SP'!F51:F69)*'Trigo SP'!B45)+(SUMIF('Trigo SS'!K49:K60,"NOVIEMBRE",'Trigo SS'!F49:F60)*'Trigo SS'!B44)</f>
        <v>0</v>
      </c>
      <c r="I54" s="329" t="e">
        <f>(SUMIF('Trigo SP'!J51:J53,"DICIEMBRE",'Trigo SP'!E51:E69)*'Trigo SP'!B45)+(SUMIF('Trigo SS'!K49:K60,"DICIEMBRE",'Trigo SS'!F49:F60)*'Trigo SS'!C44)</f>
        <v>#VALUE!</v>
      </c>
      <c r="J54" s="329" t="e">
        <f>(SUMIF('Trigo SP'!K51:K53,"ENERO",'Trigo SP'!F51:F69)*'Trigo SP'!C45)+(SUMIF('Trigo SS'!K49:K60,"ENERO",'Trigo SS'!F49:F60)*'Trigo SS'!C44)</f>
        <v>#VALUE!</v>
      </c>
      <c r="K54" s="329" t="e">
        <f>(SUMIF('Trigo SP'!K51:K53,"FEBRERO",'Trigo SP'!F51:F69)*'Trigo SP'!C45)+(SUMIF('Trigo SS'!K49:K60,"FEBRERO",'Trigo SS'!F49:F60)*'Trigo SS'!C44)</f>
        <v>#VALUE!</v>
      </c>
      <c r="L54" s="329" t="e">
        <f>(SUMIF('Trigo SP'!K51:K53,"MARZO",'Trigo SP'!F51:F69)*'Trigo SP'!C45)+(SUMIF('Trigo SS'!K49:K60,"MARZO",'Trigo SS'!F49:F60)*'Trigo SS'!C44)</f>
        <v>#VALUE!</v>
      </c>
      <c r="M54" s="329"/>
      <c r="N54" s="329"/>
      <c r="O54" s="329"/>
      <c r="P54" s="329" t="e">
        <f t="shared" si="3"/>
        <v>#VALUE!</v>
      </c>
      <c r="Q54" s="373"/>
    </row>
    <row r="55" spans="1:17" hidden="1" x14ac:dyDescent="0.25">
      <c r="A55" s="380" t="s">
        <v>218</v>
      </c>
      <c r="B55" s="329">
        <f>(SUMIF('Trigo SP'!J81:J91,"MAYO",'Trigo SP'!E80:E91)*'Trigo SP'!B45)+(SUMIF('Trigo SS'!J78:J86,"MAYO",'Trigo SS'!E78:E86)*'Trigo SS'!B44)</f>
        <v>0</v>
      </c>
      <c r="C55" s="329">
        <f>(SUMIF('Trigo SP'!J81:J91,"JUNIO",'Trigo SP'!E80:E91)*'Trigo SP'!B45)+(SUMIF('Trigo SS'!J78:J86,"JUNIO",'Trigo SS'!E78:E86)*'Trigo SS'!B44)</f>
        <v>0</v>
      </c>
      <c r="D55" s="329">
        <f>(SUMIF('Trigo SP'!J81:J91,"JULIO",'Trigo SP'!E80:E91)*'Trigo SP'!B45)+(SUMIF('Trigo SS'!J78:J86,"JULIO",'Trigo SS'!E78:E86)*'Trigo SS'!B44)</f>
        <v>0</v>
      </c>
      <c r="E55" s="329">
        <f>(SUMIF('Trigo SP'!J81:J91,"AGOSTO",'Trigo SP'!E80:E91)*'Trigo SP'!B45)+(SUMIF('Trigo SS'!J78:J86,"AGOSTO",'Trigo SS'!E78:E86)*'Trigo SS'!B44)</f>
        <v>0</v>
      </c>
      <c r="F55" s="329">
        <f>(SUMIF('Trigo SP'!J81:J91,"SEPTIEMBRE",'Trigo SP'!E80:E91)*'Trigo SP'!B45)+(SUMIF('Trigo SS'!J78:J86,"SEPTIEMBRE",'Trigo SS'!E78:E86)*'Trigo SS'!B44)</f>
        <v>0</v>
      </c>
      <c r="G55" s="329">
        <f>(SUMIF('Trigo SP'!J81:J91,"OCTUBRE",'Trigo SP'!E80:E91)*'Trigo SP'!B45)+(SUMIF('Trigo SS'!J78:J86,"OCTUBRE",'Trigo SS'!E78:E86)*'Trigo SS'!B44)</f>
        <v>0</v>
      </c>
      <c r="H55" s="329">
        <f>(SUMIF('Trigo SP'!J81:J91,"NOVIEMBRE",'Trigo SP'!E80:E91)*'Trigo SP'!B45)+(SUMIF('Trigo SS'!J78:J86,"NOVIEMBRE",'Trigo SS'!E78:E86)*'Trigo SS'!B44)</f>
        <v>0</v>
      </c>
      <c r="I55" s="329">
        <f>(SUMIF('Trigo SP'!J81:J91,"DICIEMBRE",'Trigo SP'!E80:E91)*'Trigo SP'!B45)+(SUMIF('Trigo SS'!J78:J86,"DICIEMBRE",'Trigo SS'!E78:E86)*'Trigo SS'!B44)</f>
        <v>0</v>
      </c>
      <c r="J55" s="329">
        <f>(SUMIF('Trigo SP'!J81:J91,"ENERO",'Trigo SP'!E80:E91)*'Trigo SP'!B45)+(SUMIF('Trigo SS'!J78:J86,"ENERO",'Trigo SS'!E78:E86)*'Trigo SS'!B44)</f>
        <v>0</v>
      </c>
      <c r="K55" s="329">
        <f>(SUMIF('Trigo SP'!J81:J91,"FEBRERO",'Trigo SP'!E80:E91)*'Trigo SP'!B45)+(SUMIF('Trigo SS'!J78:J86,"FEBRERO",'Trigo SS'!E78:E86)*'Trigo SS'!B44)</f>
        <v>0</v>
      </c>
      <c r="L55" s="329">
        <f>(SUMIF('Trigo SP'!J81:J91,"MARZO",'Trigo SP'!E80:E91)*'Trigo SP'!B45)+(SUMIF('Trigo SS'!J78:J86,"MARZO",'Trigo SS'!E78:E86)*'Trigo SS'!B44)</f>
        <v>0</v>
      </c>
      <c r="M55" s="329"/>
      <c r="N55" s="329"/>
      <c r="O55" s="329"/>
      <c r="P55" s="329">
        <f>SUM(B55:O55)</f>
        <v>0</v>
      </c>
      <c r="Q55" s="373"/>
    </row>
    <row r="56" spans="1:17" hidden="1" x14ac:dyDescent="0.25">
      <c r="A56" s="380" t="s">
        <v>219</v>
      </c>
      <c r="B56" s="329">
        <f>('Trigo SP'!B45*SUMIF('Trigo SP'!J77:J78,"MAYO",'Trigo SP'!E76:E77))+('Trigo SS'!B44*SUMIF('Trigo SS'!J74:J75,"MAYO",'Trigo SS'!E74:E75))</f>
        <v>0</v>
      </c>
      <c r="C56" s="329">
        <f>('Trigo SP'!B45*SUMIF('Trigo SP'!J77:J78,"JUNIO",'Trigo SP'!E76:E77))+('Trigo SS'!B44*SUMIF('Trigo SS'!J74:J75,"JUNIO",'Trigo SS'!E74:E75))</f>
        <v>0</v>
      </c>
      <c r="D56" s="329">
        <f>('Trigo SP'!B45*SUMIF('Trigo SP'!J77:J78,"JULIO",'Trigo SP'!E76:E77))+('Trigo SS'!B44*SUMIF('Trigo SS'!J74:J75,"JULIO",'Trigo SS'!E74:E75))</f>
        <v>0</v>
      </c>
      <c r="E56" s="329"/>
      <c r="F56" s="329"/>
      <c r="G56" s="329"/>
      <c r="H56" s="329"/>
      <c r="I56" s="329">
        <f>+'Trigo SP'!I77</f>
        <v>0</v>
      </c>
      <c r="J56" s="329">
        <f>+'Trigo SP'!I78</f>
        <v>0</v>
      </c>
      <c r="K56" s="329"/>
      <c r="L56" s="329"/>
      <c r="M56" s="329"/>
      <c r="N56" s="329"/>
      <c r="O56" s="329"/>
      <c r="P56" s="329">
        <f>SUM(B56:O56)</f>
        <v>0</v>
      </c>
      <c r="Q56" s="373"/>
    </row>
    <row r="57" spans="1:17" hidden="1" x14ac:dyDescent="0.25">
      <c r="A57" s="380" t="s">
        <v>205</v>
      </c>
      <c r="B57" s="329"/>
      <c r="C57" s="329"/>
      <c r="D57" s="329"/>
      <c r="E57" s="329"/>
      <c r="F57" s="329"/>
      <c r="G57" s="329"/>
      <c r="H57" s="329"/>
      <c r="I57" s="329"/>
      <c r="J57" s="329">
        <f>'Trigo SP'!B45*'Trigo SP'!E55+'Trigo SS'!B44*'Trigo SS'!E64</f>
        <v>1</v>
      </c>
      <c r="K57" s="329"/>
      <c r="L57" s="329"/>
      <c r="M57" s="329"/>
      <c r="N57" s="329"/>
      <c r="O57" s="329"/>
      <c r="P57" s="329">
        <f>SUM(B57:O57)</f>
        <v>1</v>
      </c>
      <c r="Q57" s="373"/>
    </row>
    <row r="58" spans="1:17" hidden="1" x14ac:dyDescent="0.25">
      <c r="A58" s="380" t="s">
        <v>220</v>
      </c>
      <c r="B58" s="329"/>
      <c r="C58" s="329"/>
      <c r="D58" s="329"/>
      <c r="E58" s="329"/>
      <c r="F58" s="329"/>
      <c r="G58" s="329"/>
      <c r="H58" s="329"/>
      <c r="I58" s="329"/>
      <c r="J58" s="329" t="e">
        <f>('Trigo SP'!B45*('Trigo SP'!E95+'Trigo SP'!#REF!))+('Trigo SS'!B44*('Trigo SS'!D89+'Trigo SS'!E100))</f>
        <v>#REF!</v>
      </c>
      <c r="K58" s="329"/>
      <c r="L58" s="329"/>
      <c r="M58" s="329"/>
      <c r="N58" s="329"/>
      <c r="O58" s="329"/>
      <c r="P58" s="329" t="e">
        <f t="shared" si="3"/>
        <v>#REF!</v>
      </c>
      <c r="Q58" s="373"/>
    </row>
    <row r="59" spans="1:17" hidden="1" x14ac:dyDescent="0.25">
      <c r="A59" s="380" t="s">
        <v>207</v>
      </c>
      <c r="B59" s="329">
        <f>(('Trigo SP'!D72*'Trigo SP'!B45)+('Trigo SS'!D70*'Trigo SS'!B44))*0.1</f>
        <v>0</v>
      </c>
      <c r="C59" s="329">
        <f>(('Trigo SP'!D72*'Trigo SP'!B45)+('Trigo SS'!D70*'Trigo SS'!B44))*0.1</f>
        <v>0</v>
      </c>
      <c r="D59" s="329">
        <f>(('Trigo SP'!D72*'Trigo SP'!B45)+('Trigo SS'!D70*'Trigo SS'!B44))*0.1</f>
        <v>0</v>
      </c>
      <c r="E59" s="329">
        <f>(('Trigo SP'!D72*'Trigo SP'!B45)+('Trigo SS'!D70*'Trigo SS'!B44))*0.1</f>
        <v>0</v>
      </c>
      <c r="F59" s="329">
        <f>(('Trigo SP'!D72*'Trigo SP'!B45)+('Trigo SS'!D70*'Trigo SS'!B44))*0.1</f>
        <v>0</v>
      </c>
      <c r="G59" s="329">
        <f>(('Trigo SP'!D72*'Trigo SP'!B45)+('Trigo SS'!D70*'Trigo SS'!B44))*0.1</f>
        <v>0</v>
      </c>
      <c r="H59" s="329">
        <f>(('Trigo SP'!D72*'Trigo SP'!B45)+('Trigo SS'!D70*'Trigo SS'!B44))*0.1</f>
        <v>0</v>
      </c>
      <c r="I59" s="329">
        <f>(('Trigo SP'!D72*'Trigo SP'!B45)+('Trigo SS'!D70*'Trigo SS'!B44))*0.1</f>
        <v>0</v>
      </c>
      <c r="J59" s="329">
        <f>(('Trigo SP'!D72*'Trigo SP'!B45)+('Trigo SS'!D70*'Trigo SS'!B44))*0.1</f>
        <v>0</v>
      </c>
      <c r="K59" s="329">
        <f>(('Trigo SP'!D72*'Trigo SP'!B45)+('Trigo SS'!D70*'Trigo SS'!B44))*0.1</f>
        <v>0</v>
      </c>
      <c r="L59" s="329"/>
      <c r="M59" s="329"/>
      <c r="N59" s="329"/>
      <c r="O59" s="329"/>
      <c r="P59" s="329">
        <f t="shared" si="3"/>
        <v>0</v>
      </c>
      <c r="Q59" s="373"/>
    </row>
    <row r="60" spans="1:17" hidden="1" x14ac:dyDescent="0.25">
      <c r="A60" s="380" t="s">
        <v>221</v>
      </c>
      <c r="B60" s="329"/>
      <c r="C60" s="329"/>
      <c r="D60" s="329"/>
      <c r="E60" s="329"/>
      <c r="F60" s="329"/>
      <c r="G60" s="329"/>
      <c r="H60" s="329"/>
      <c r="I60" s="329"/>
      <c r="J60" s="329"/>
      <c r="K60" s="329">
        <f>('Trigo SP'!B45*'Trigo SP'!D106)+('Trigo SS'!D102*'Trigo SS'!B44)</f>
        <v>0</v>
      </c>
      <c r="L60" s="329"/>
      <c r="M60" s="329"/>
      <c r="N60" s="329"/>
      <c r="O60" s="329"/>
      <c r="P60" s="329">
        <f t="shared" si="3"/>
        <v>0</v>
      </c>
      <c r="Q60" s="373"/>
    </row>
    <row r="61" spans="1:17" hidden="1" x14ac:dyDescent="0.25">
      <c r="A61" s="372"/>
      <c r="Q61" s="373"/>
    </row>
    <row r="62" spans="1:17" ht="13.8" thickBot="1" x14ac:dyDescent="0.3">
      <c r="A62" s="382" t="s">
        <v>491</v>
      </c>
      <c r="B62" s="383">
        <f>'CASH FLOW'!B9-'CASH FLOW'!B11</f>
        <v>0</v>
      </c>
      <c r="C62" s="383">
        <f>'CASH FLOW'!C9-'CASH FLOW'!C11</f>
        <v>0</v>
      </c>
      <c r="D62" s="383">
        <f>'CASH FLOW'!D9-'CASH FLOW'!D11</f>
        <v>-1950.1650000000002</v>
      </c>
      <c r="E62" s="383">
        <f>'CASH FLOW'!E9-'CASH FLOW'!E11</f>
        <v>-1950.1650000000002</v>
      </c>
      <c r="F62" s="383">
        <f>'CASH FLOW'!F9-'CASH FLOW'!F11</f>
        <v>-1950.1650000000002</v>
      </c>
      <c r="G62" s="383">
        <f>'CASH FLOW'!G9-'CASH FLOW'!G11</f>
        <v>-1950.1650000000002</v>
      </c>
      <c r="H62" s="383">
        <f>'CASH FLOW'!H9-'CASH FLOW'!H11</f>
        <v>-1950.1650000000002</v>
      </c>
      <c r="I62" s="383">
        <f>'CASH FLOW'!I9-'CASH FLOW'!I11</f>
        <v>-1950.1650000000002</v>
      </c>
      <c r="J62" s="383">
        <f>'CASH FLOW'!J9-'CASH FLOW'!J11</f>
        <v>-1950.1650000000002</v>
      </c>
      <c r="K62" s="383">
        <f>'CASH FLOW'!K9-'CASH FLOW'!K11</f>
        <v>-1950.1650000000002</v>
      </c>
      <c r="L62" s="383">
        <f>'CASH FLOW'!L9-'CASH FLOW'!L11</f>
        <v>-1950.1650000000002</v>
      </c>
      <c r="M62" s="383">
        <f>'CASH FLOW'!M9-'CASH FLOW'!M11</f>
        <v>-1950.1650000000002</v>
      </c>
      <c r="N62" s="383">
        <f>'CASH FLOW'!N9-'CASH FLOW'!N11</f>
        <v>0</v>
      </c>
      <c r="O62" s="383">
        <f>'CASH FLOW'!O9-'CASH FLOW'!O11</f>
        <v>0</v>
      </c>
      <c r="P62" s="384"/>
      <c r="Q62" s="385" t="e">
        <f>IRR((B62:O62),30%)</f>
        <v>#NUM!</v>
      </c>
    </row>
    <row r="63" spans="1:17" ht="13.8" thickBot="1" x14ac:dyDescent="0.3"/>
    <row r="64" spans="1:17" x14ac:dyDescent="0.25">
      <c r="A64" s="391" t="s">
        <v>222</v>
      </c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77"/>
      <c r="Q64" s="371" t="s">
        <v>485</v>
      </c>
    </row>
    <row r="65" spans="1:17" ht="13.8" thickBot="1" x14ac:dyDescent="0.3">
      <c r="A65" s="382" t="s">
        <v>491</v>
      </c>
      <c r="B65" s="383">
        <f>'CASH FLOW'!B23-'CASH FLOW'!B25</f>
        <v>0</v>
      </c>
      <c r="C65" s="383">
        <f>'CASH FLOW'!C23-'CASH FLOW'!C25</f>
        <v>0</v>
      </c>
      <c r="D65" s="383">
        <f>'CASH FLOW'!D23-'CASH FLOW'!D25</f>
        <v>0</v>
      </c>
      <c r="E65" s="383">
        <f>'CASH FLOW'!E23-'CASH FLOW'!E25</f>
        <v>0</v>
      </c>
      <c r="F65" s="383">
        <f>'CASH FLOW'!F23-'CASH FLOW'!F25</f>
        <v>0</v>
      </c>
      <c r="G65" s="383">
        <f>'CASH FLOW'!G23-'CASH FLOW'!G25</f>
        <v>0</v>
      </c>
      <c r="H65" s="383">
        <f>'CASH FLOW'!H23-'CASH FLOW'!H25</f>
        <v>0</v>
      </c>
      <c r="I65" s="383">
        <f>'CASH FLOW'!I23-'CASH FLOW'!I25</f>
        <v>0</v>
      </c>
      <c r="J65" s="383">
        <f>'CASH FLOW'!J23-'CASH FLOW'!J25</f>
        <v>0</v>
      </c>
      <c r="K65" s="383">
        <f>'CASH FLOW'!K23-'CASH FLOW'!K25</f>
        <v>0</v>
      </c>
      <c r="L65" s="383">
        <f>'CASH FLOW'!L23-'CASH FLOW'!L25</f>
        <v>0</v>
      </c>
      <c r="M65" s="383">
        <f>'CASH FLOW'!M23-'CASH FLOW'!M25</f>
        <v>0</v>
      </c>
      <c r="N65" s="383">
        <f>'CASH FLOW'!N23-'CASH FLOW'!N25</f>
        <v>0</v>
      </c>
      <c r="O65" s="383">
        <f>'CASH FLOW'!O23-'CASH FLOW'!O25</f>
        <v>0</v>
      </c>
      <c r="P65" s="384"/>
      <c r="Q65" s="385" t="e">
        <f>IRR((B65:O65),5%)</f>
        <v>#NUM!</v>
      </c>
    </row>
    <row r="66" spans="1:17" ht="13.8" thickBot="1" x14ac:dyDescent="0.3"/>
    <row r="67" spans="1:17" x14ac:dyDescent="0.25">
      <c r="A67" s="376" t="s">
        <v>227</v>
      </c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1" t="s">
        <v>485</v>
      </c>
    </row>
    <row r="68" spans="1:17" ht="13.8" thickBot="1" x14ac:dyDescent="0.3">
      <c r="A68" s="382" t="s">
        <v>491</v>
      </c>
      <c r="B68" s="383">
        <f>'CASH FLOW'!B90-'CASH FLOW'!B92</f>
        <v>0</v>
      </c>
      <c r="C68" s="383">
        <f>'CASH FLOW'!C90-'CASH FLOW'!C92</f>
        <v>0</v>
      </c>
      <c r="D68" s="383">
        <f>'CASH FLOW'!D90-'CASH FLOW'!D92</f>
        <v>0</v>
      </c>
      <c r="E68" s="383">
        <f>'CASH FLOW'!E90-'CASH FLOW'!E92</f>
        <v>0</v>
      </c>
      <c r="F68" s="383">
        <f>'CASH FLOW'!F90-'CASH FLOW'!F92</f>
        <v>0</v>
      </c>
      <c r="G68" s="383">
        <f>'CASH FLOW'!G90-'CASH FLOW'!G92</f>
        <v>0</v>
      </c>
      <c r="H68" s="383">
        <f>'CASH FLOW'!H90-'CASH FLOW'!H92</f>
        <v>0</v>
      </c>
      <c r="I68" s="383">
        <f>'CASH FLOW'!I90-'CASH FLOW'!I92</f>
        <v>0</v>
      </c>
      <c r="J68" s="383">
        <f>'CASH FLOW'!J90-'CASH FLOW'!J92</f>
        <v>0</v>
      </c>
      <c r="K68" s="383">
        <f>'CASH FLOW'!K90-'CASH FLOW'!K92</f>
        <v>0</v>
      </c>
      <c r="L68" s="383">
        <f>'CASH FLOW'!L90-'CASH FLOW'!L92</f>
        <v>0</v>
      </c>
      <c r="M68" s="383">
        <f>'CASH FLOW'!M90-'CASH FLOW'!M92</f>
        <v>0</v>
      </c>
      <c r="N68" s="383">
        <f>'CASH FLOW'!N90-'CASH FLOW'!N92</f>
        <v>0</v>
      </c>
      <c r="O68" s="383">
        <f>'CASH FLOW'!O90-'CASH FLOW'!O92</f>
        <v>0</v>
      </c>
      <c r="P68" s="384"/>
      <c r="Q68" s="385" t="e">
        <f>IRR((B68:O68),5%)</f>
        <v>#NUM!</v>
      </c>
    </row>
    <row r="69" spans="1:17" ht="13.8" thickBot="1" x14ac:dyDescent="0.3"/>
    <row r="70" spans="1:17" x14ac:dyDescent="0.25">
      <c r="A70" s="391" t="s">
        <v>228</v>
      </c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1" t="s">
        <v>485</v>
      </c>
    </row>
    <row r="71" spans="1:17" ht="13.8" thickBot="1" x14ac:dyDescent="0.3">
      <c r="A71" s="382" t="s">
        <v>491</v>
      </c>
      <c r="B71" s="383">
        <f>'CASH FLOW'!B104-'CASH FLOW'!B106</f>
        <v>0</v>
      </c>
      <c r="C71" s="383">
        <f>'CASH FLOW'!C104-'CASH FLOW'!C106</f>
        <v>0</v>
      </c>
      <c r="D71" s="383">
        <f ca="1">'CASH FLOW'!D104-'CASH FLOW'!D106</f>
        <v>0</v>
      </c>
      <c r="E71" s="383">
        <f>'CASH FLOW'!E104-'CASH FLOW'!E106</f>
        <v>0</v>
      </c>
      <c r="F71" s="383">
        <f>'CASH FLOW'!F104-'CASH FLOW'!F106</f>
        <v>0</v>
      </c>
      <c r="G71" s="383">
        <f>'CASH FLOW'!G104-'CASH FLOW'!G106</f>
        <v>0</v>
      </c>
      <c r="H71" s="383">
        <f>'CASH FLOW'!H104-'CASH FLOW'!H106</f>
        <v>0</v>
      </c>
      <c r="I71" s="383">
        <f>'CASH FLOW'!I104-'CASH FLOW'!I106</f>
        <v>0</v>
      </c>
      <c r="J71" s="383">
        <f>'CASH FLOW'!J104-'CASH FLOW'!J106</f>
        <v>0</v>
      </c>
      <c r="K71" s="383">
        <f>'CASH FLOW'!K104-'CASH FLOW'!K106</f>
        <v>0</v>
      </c>
      <c r="L71" s="383">
        <f>'CASH FLOW'!L104-'CASH FLOW'!L106</f>
        <v>0</v>
      </c>
      <c r="M71" s="383">
        <f ca="1">'CASH FLOW'!M104-'CASH FLOW'!M106</f>
        <v>0</v>
      </c>
      <c r="N71" s="383">
        <f>'CASH FLOW'!N104-'CASH FLOW'!N106</f>
        <v>0</v>
      </c>
      <c r="O71" s="383">
        <f>'CASH FLOW'!O104-'CASH FLOW'!O106</f>
        <v>0</v>
      </c>
      <c r="P71" s="384"/>
      <c r="Q71" s="385" t="e">
        <f ca="1">IRR((B71:O71),5%)</f>
        <v>#NUM!</v>
      </c>
    </row>
    <row r="72" spans="1:17" ht="13.8" thickBot="1" x14ac:dyDescent="0.3"/>
    <row r="73" spans="1:17" x14ac:dyDescent="0.25">
      <c r="A73" s="376" t="s">
        <v>229</v>
      </c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1" t="s">
        <v>485</v>
      </c>
    </row>
    <row r="74" spans="1:17" ht="13.8" thickBot="1" x14ac:dyDescent="0.3">
      <c r="A74" s="382" t="s">
        <v>491</v>
      </c>
      <c r="B74" s="384">
        <f>'CASH FLOW'!B118-'CASH FLOW'!B120</f>
        <v>0</v>
      </c>
      <c r="C74" s="384">
        <f ca="1">'CASH FLOW'!C118-'CASH FLOW'!C120</f>
        <v>0</v>
      </c>
      <c r="D74" s="384">
        <f ca="1">'CASH FLOW'!D118-'CASH FLOW'!D120</f>
        <v>0</v>
      </c>
      <c r="E74" s="384">
        <f ca="1">'CASH FLOW'!E118-'CASH FLOW'!E120</f>
        <v>0</v>
      </c>
      <c r="F74" s="384">
        <f ca="1">'CASH FLOW'!F118-'CASH FLOW'!F120</f>
        <v>0</v>
      </c>
      <c r="G74" s="384">
        <f ca="1">'CASH FLOW'!G118-'CASH FLOW'!G120</f>
        <v>0</v>
      </c>
      <c r="H74" s="384">
        <f ca="1">'CASH FLOW'!H118-'CASH FLOW'!H120</f>
        <v>0</v>
      </c>
      <c r="I74" s="384">
        <f ca="1">'CASH FLOW'!I118-'CASH FLOW'!I120</f>
        <v>0</v>
      </c>
      <c r="J74" s="384">
        <f ca="1">'CASH FLOW'!J118-'CASH FLOW'!J120</f>
        <v>0</v>
      </c>
      <c r="K74" s="384">
        <f ca="1">'CASH FLOW'!K118-'CASH FLOW'!K120</f>
        <v>0</v>
      </c>
      <c r="L74" s="384">
        <f ca="1">'CASH FLOW'!L118-'CASH FLOW'!L120</f>
        <v>0</v>
      </c>
      <c r="M74" s="384">
        <f>'CASH FLOW'!M118-'CASH FLOW'!M120</f>
        <v>0</v>
      </c>
      <c r="N74" s="384">
        <f>'CASH FLOW'!N118-'CASH FLOW'!N120</f>
        <v>0</v>
      </c>
      <c r="O74" s="384">
        <f>'CASH FLOW'!O118-'CASH FLOW'!O120</f>
        <v>0</v>
      </c>
      <c r="P74" s="384"/>
      <c r="Q74" s="385" t="e">
        <f ca="1">IRR((B74:O74),5%)</f>
        <v>#NUM!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7"/>
  <sheetViews>
    <sheetView workbookViewId="0">
      <selection activeCell="C58" sqref="C58"/>
    </sheetView>
  </sheetViews>
  <sheetFormatPr baseColWidth="10" defaultColWidth="9.109375" defaultRowHeight="13.2" x14ac:dyDescent="0.25"/>
  <cols>
    <col min="1" max="256" width="11.44140625" customWidth="1"/>
  </cols>
  <sheetData>
    <row r="1" spans="1:17" x14ac:dyDescent="0.25">
      <c r="A1" t="s">
        <v>491</v>
      </c>
      <c r="B1">
        <v>-31743.79555555556</v>
      </c>
      <c r="C1">
        <v>-1358.4</v>
      </c>
      <c r="D1">
        <v>-17709.511111111111</v>
      </c>
      <c r="E1">
        <v>-7612.7000000000007</v>
      </c>
      <c r="F1">
        <v>-1358.4</v>
      </c>
      <c r="G1">
        <v>-1358.4</v>
      </c>
      <c r="H1">
        <v>-15757.439999999999</v>
      </c>
      <c r="I1">
        <v>-26341.262666666669</v>
      </c>
      <c r="J1">
        <v>-62075.861333333334</v>
      </c>
      <c r="K1">
        <v>36405.119999999988</v>
      </c>
      <c r="L1">
        <v>177797.57999999996</v>
      </c>
      <c r="M1">
        <v>0</v>
      </c>
      <c r="N1">
        <v>-13584</v>
      </c>
      <c r="O1">
        <v>0</v>
      </c>
      <c r="Q1">
        <v>4.1388374536815424E-2</v>
      </c>
    </row>
    <row r="3" spans="1:17" x14ac:dyDescent="0.25">
      <c r="A3" t="s">
        <v>491</v>
      </c>
      <c r="B3">
        <v>-4075.2</v>
      </c>
      <c r="C3">
        <v>0</v>
      </c>
      <c r="D3">
        <v>0</v>
      </c>
      <c r="E3">
        <v>0</v>
      </c>
      <c r="F3">
        <v>-339.6</v>
      </c>
      <c r="G3">
        <v>-339.6</v>
      </c>
      <c r="H3">
        <v>-339.6</v>
      </c>
      <c r="I3">
        <v>-3056.4</v>
      </c>
      <c r="J3">
        <v>-37023.474999999999</v>
      </c>
      <c r="K3">
        <v>-339.6</v>
      </c>
      <c r="L3">
        <v>-15080.975666666667</v>
      </c>
      <c r="M3">
        <v>-339.6</v>
      </c>
      <c r="N3">
        <v>-3735.6</v>
      </c>
      <c r="O3">
        <v>68152.663733333335</v>
      </c>
      <c r="Q3">
        <v>1.0733623353233614E-2</v>
      </c>
    </row>
    <row r="5" spans="1:17" x14ac:dyDescent="0.25">
      <c r="A5" t="s">
        <v>491</v>
      </c>
      <c r="B5">
        <v>-22536</v>
      </c>
      <c r="C5">
        <v>-1878</v>
      </c>
      <c r="D5">
        <v>-4950.6166666666668</v>
      </c>
      <c r="E5">
        <v>-1878</v>
      </c>
      <c r="F5">
        <v>-1878</v>
      </c>
      <c r="G5">
        <v>-19780.556666666667</v>
      </c>
      <c r="H5">
        <v>-36436.33</v>
      </c>
      <c r="I5">
        <v>-25683.762750000002</v>
      </c>
      <c r="J5">
        <v>-22594.791111111113</v>
      </c>
      <c r="K5">
        <v>-1878</v>
      </c>
      <c r="L5">
        <v>-73967.021775500005</v>
      </c>
      <c r="M5">
        <v>0</v>
      </c>
      <c r="N5">
        <v>-18780</v>
      </c>
      <c r="O5">
        <v>292542.32</v>
      </c>
      <c r="Q5">
        <v>3.9427756619732739E-2</v>
      </c>
    </row>
    <row r="6" spans="1:17" ht="13.8" thickBot="1" x14ac:dyDescent="0.3"/>
    <row r="7" spans="1:17" ht="13.8" thickBot="1" x14ac:dyDescent="0.3">
      <c r="A7" t="s">
        <v>493</v>
      </c>
      <c r="B7">
        <v>-58354.995555555557</v>
      </c>
      <c r="C7">
        <v>-3236.4</v>
      </c>
      <c r="D7">
        <v>-22660.12777777778</v>
      </c>
      <c r="E7">
        <v>-9490.7000000000007</v>
      </c>
      <c r="F7">
        <v>-3576</v>
      </c>
      <c r="G7">
        <v>-21478.556666666667</v>
      </c>
      <c r="H7">
        <v>-52533.37</v>
      </c>
      <c r="I7">
        <v>-55081.425416666672</v>
      </c>
      <c r="J7">
        <v>-121694.12744444446</v>
      </c>
      <c r="K7">
        <v>34187.51999999999</v>
      </c>
      <c r="L7">
        <v>88749.582557833288</v>
      </c>
      <c r="M7">
        <v>-339.6</v>
      </c>
      <c r="N7">
        <v>-36099.599999999999</v>
      </c>
      <c r="O7">
        <v>360694.98373333336</v>
      </c>
      <c r="Q7" s="366">
        <v>3.6842414570629291E-2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DD5620F0C53641A1DB26E2C5895DE8" ma:contentTypeVersion="16" ma:contentTypeDescription="Crear nuevo documento." ma:contentTypeScope="" ma:versionID="79854ef950a019ccd2dbd6c1033a4afa">
  <xsd:schema xmlns:xsd="http://www.w3.org/2001/XMLSchema" xmlns:xs="http://www.w3.org/2001/XMLSchema" xmlns:p="http://schemas.microsoft.com/office/2006/metadata/properties" xmlns:ns2="46808291-40b5-4ade-a408-dddef073a07e" xmlns:ns3="74c3c267-ed20-45c0-97ab-5c1372931cd5" targetNamespace="http://schemas.microsoft.com/office/2006/metadata/properties" ma:root="true" ma:fieldsID="8c03a59e7af3e6e6100dedbfe4c9a301" ns2:_="" ns3:_="">
    <xsd:import namespace="46808291-40b5-4ade-a408-dddef073a07e"/>
    <xsd:import namespace="74c3c267-ed20-45c0-97ab-5c1372931c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808291-40b5-4ade-a408-dddef073a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6970ae7-2717-4d32-a882-f2b66a74f5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c267-ed20-45c0-97ab-5c1372931cd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b78ffb5-70c7-4524-a23c-03dcaba15dfe}" ma:internalName="TaxCatchAll" ma:showField="CatchAllData" ma:web="74c3c267-ed20-45c0-97ab-5c1372931c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808291-40b5-4ade-a408-dddef073a07e">
      <Terms xmlns="http://schemas.microsoft.com/office/infopath/2007/PartnerControls"/>
    </lcf76f155ced4ddcb4097134ff3c332f>
    <TaxCatchAll xmlns="74c3c267-ed20-45c0-97ab-5c1372931c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FD095-C92F-4C71-BF03-C89348A9D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808291-40b5-4ade-a408-dddef073a07e"/>
    <ds:schemaRef ds:uri="74c3c267-ed20-45c0-97ab-5c1372931c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0B271E-6B4F-451F-8100-5EB2368EE22E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74c3c267-ed20-45c0-97ab-5c1372931cd5"/>
    <ds:schemaRef ds:uri="http://schemas.openxmlformats.org/package/2006/metadata/core-properties"/>
    <ds:schemaRef ds:uri="46808291-40b5-4ade-a408-dddef073a07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4407B61-1602-4E16-A3D6-B7AC05E9C7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</vt:i4>
      </vt:variant>
    </vt:vector>
  </HeadingPairs>
  <TitlesOfParts>
    <vt:vector size="27" baseType="lpstr">
      <vt:lpstr>Cotizaciones</vt:lpstr>
      <vt:lpstr>Resumen Proy</vt:lpstr>
      <vt:lpstr>CASH FLOW</vt:lpstr>
      <vt:lpstr>Cebada SP</vt:lpstr>
      <vt:lpstr>Cebada SS </vt:lpstr>
      <vt:lpstr>Soja 2da. C</vt:lpstr>
      <vt:lpstr>Trigo SP</vt:lpstr>
      <vt:lpstr>Camelina</vt:lpstr>
      <vt:lpstr>Soja 2da. T</vt:lpstr>
      <vt:lpstr>Maiz 2da</vt:lpstr>
      <vt:lpstr>Girasol 2da</vt:lpstr>
      <vt:lpstr>Soja 2da. Co</vt:lpstr>
      <vt:lpstr>Maiz SP</vt:lpstr>
      <vt:lpstr>Girasol SP</vt:lpstr>
      <vt:lpstr>Girasol SS</vt:lpstr>
      <vt:lpstr>Girasol O SP</vt:lpstr>
      <vt:lpstr>Girasol O SS</vt:lpstr>
      <vt:lpstr>Soja SS</vt:lpstr>
      <vt:lpstr>Trigo SS</vt:lpstr>
      <vt:lpstr>Tipo de Cambio Proyectado</vt:lpstr>
      <vt:lpstr>TIR</vt:lpstr>
      <vt:lpstr>Hoja2</vt:lpstr>
      <vt:lpstr>Hoja3</vt:lpstr>
      <vt:lpstr>'Soja SS'!aquimsj1</vt:lpstr>
      <vt:lpstr>aquimsj1</vt:lpstr>
      <vt:lpstr>'Soja SS'!semsj1</vt:lpstr>
      <vt:lpstr>semsj1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Gandini</dc:creator>
  <cp:keywords/>
  <dc:description/>
  <cp:lastModifiedBy>Jose Gandini</cp:lastModifiedBy>
  <cp:revision/>
  <dcterms:created xsi:type="dcterms:W3CDTF">2012-04-25T18:38:32Z</dcterms:created>
  <dcterms:modified xsi:type="dcterms:W3CDTF">2026-10-13T19:34:52Z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MediaServiceImageTags">
    <vt:lpwstr/>
  </property>
  <property fmtid="{D5CDD505-2E9C-101B-9397-08002B2CF9AE}" pid="5" name="ContentTypeId">
    <vt:lpwstr>0x010100D7DD5620F0C53641A1DB26E2C5895DE8</vt:lpwstr>
  </property>
</Properties>
</file>